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Konings\Desktop\"/>
    </mc:Choice>
  </mc:AlternateContent>
  <xr:revisionPtr revIDLastSave="0" documentId="13_ncr:1_{8EA83940-CFB7-4712-A91F-54F7583AF58C}" xr6:coauthVersionLast="47" xr6:coauthVersionMax="47" xr10:uidLastSave="{00000000-0000-0000-0000-000000000000}"/>
  <bookViews>
    <workbookView xWindow="-120" yWindow="-120" windowWidth="29040" windowHeight="15720" firstSheet="1" activeTab="6" xr2:uid="{5E386BC0-EE2E-4EF6-9383-ABB4711084B5}"/>
  </bookViews>
  <sheets>
    <sheet name="insurance_dataset" sheetId="1" r:id="rId1"/>
    <sheet name="KPI" sheetId="8" r:id="rId2"/>
    <sheet name="Expenditure by Gender" sheetId="2" r:id="rId3"/>
    <sheet name="Expenditure by Smoking Status" sheetId="6" r:id="rId4"/>
    <sheet name="Expenditure by Age Group" sheetId="4" r:id="rId5"/>
    <sheet name="Expeniture by Region" sheetId="5" r:id="rId6"/>
    <sheet name="Dashboard" sheetId="9" r:id="rId7"/>
  </sheets>
  <definedNames>
    <definedName name="Slicer_Age">#N/A</definedName>
    <definedName name="Slicer_Children">#N/A</definedName>
    <definedName name="Slicer_Smoke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8" l="1"/>
  <c r="B5" i="8"/>
  <c r="B4" i="8"/>
  <c r="B2" i="8"/>
  <c r="H2" i="1" a="1"/>
  <c r="H2" i="1" s="1"/>
  <c r="H3" i="1" a="1"/>
  <c r="H3" i="1"/>
  <c r="H4" i="1" a="1"/>
  <c r="H4" i="1" s="1"/>
  <c r="H5" i="1" a="1"/>
  <c r="H5" i="1" s="1"/>
  <c r="H6" i="1" a="1"/>
  <c r="H6" i="1" s="1"/>
  <c r="H7" i="1" a="1"/>
  <c r="H7" i="1" s="1"/>
  <c r="H8" i="1" a="1"/>
  <c r="H8" i="1" s="1"/>
  <c r="H9" i="1" a="1"/>
  <c r="H9" i="1" s="1"/>
  <c r="H10" i="1" a="1"/>
  <c r="H10" i="1" s="1"/>
  <c r="H11" i="1" a="1"/>
  <c r="H11" i="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c r="H26" i="1" a="1"/>
  <c r="H26" i="1" s="1"/>
  <c r="H27" i="1" a="1"/>
  <c r="H27" i="1" s="1"/>
  <c r="H28" i="1" a="1"/>
  <c r="H28" i="1" s="1"/>
  <c r="H29" i="1" a="1"/>
  <c r="H29" i="1" s="1"/>
  <c r="H30" i="1" a="1"/>
  <c r="H30" i="1" s="1"/>
  <c r="H31" i="1" a="1"/>
  <c r="H31" i="1" s="1"/>
  <c r="H32" i="1" a="1"/>
  <c r="H32" i="1" s="1"/>
  <c r="H33" i="1" a="1"/>
  <c r="H33" i="1" s="1"/>
  <c r="H34" i="1" a="1"/>
  <c r="H34" i="1" s="1"/>
  <c r="H35" i="1" a="1"/>
  <c r="H35" i="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c r="H52" i="1" a="1"/>
  <c r="H52" i="1" s="1"/>
  <c r="H53" i="1" a="1"/>
  <c r="H53" i="1" s="1"/>
  <c r="H54" i="1" a="1"/>
  <c r="H54" i="1" s="1"/>
  <c r="H55" i="1" a="1"/>
  <c r="H55" i="1" s="1"/>
  <c r="H56" i="1" a="1"/>
  <c r="H56" i="1" s="1"/>
  <c r="H57" i="1" a="1"/>
  <c r="H57" i="1" s="1"/>
  <c r="H58" i="1" a="1"/>
  <c r="H58" i="1" s="1"/>
  <c r="H59" i="1" a="1"/>
  <c r="H59" i="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c r="H76" i="1" a="1"/>
  <c r="H76" i="1" s="1"/>
  <c r="H77" i="1" a="1"/>
  <c r="H77" i="1" s="1"/>
  <c r="H78" i="1" a="1"/>
  <c r="H78" i="1" s="1"/>
  <c r="H79" i="1" a="1"/>
  <c r="H79" i="1" s="1"/>
  <c r="H80" i="1" a="1"/>
  <c r="H80" i="1" s="1"/>
  <c r="H81" i="1" a="1"/>
  <c r="H81" i="1" s="1"/>
  <c r="H82" i="1" a="1"/>
  <c r="H82" i="1" s="1"/>
  <c r="H83" i="1" a="1"/>
  <c r="H83" i="1"/>
  <c r="H84" i="1" a="1"/>
  <c r="H84" i="1" s="1"/>
  <c r="H85" i="1" a="1"/>
  <c r="H85" i="1" s="1"/>
  <c r="H86" i="1" a="1"/>
  <c r="H86" i="1" s="1"/>
  <c r="H87" i="1" a="1"/>
  <c r="H87" i="1" s="1"/>
  <c r="H88" i="1" a="1"/>
  <c r="H88" i="1" s="1"/>
  <c r="H89" i="1" a="1"/>
  <c r="H89" i="1" s="1"/>
  <c r="H90" i="1" a="1"/>
  <c r="H90" i="1" s="1"/>
  <c r="H91" i="1" a="1"/>
  <c r="H91" i="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c r="H106" i="1" a="1"/>
  <c r="H106" i="1" s="1"/>
  <c r="H107" i="1" a="1"/>
  <c r="H107" i="1" s="1"/>
  <c r="H108" i="1" a="1"/>
  <c r="H108" i="1" s="1"/>
  <c r="H109" i="1" a="1"/>
  <c r="H109" i="1" s="1"/>
  <c r="H110" i="1" a="1"/>
  <c r="H110" i="1" s="1"/>
  <c r="H111" i="1" a="1"/>
  <c r="H111" i="1" s="1"/>
  <c r="H112" i="1" a="1"/>
  <c r="H112" i="1" s="1"/>
  <c r="H113" i="1" a="1"/>
  <c r="H113" i="1" s="1"/>
  <c r="H114" i="1" a="1"/>
  <c r="H114" i="1" s="1"/>
  <c r="H115" i="1" a="1"/>
  <c r="H115" i="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c r="H130" i="1" a="1"/>
  <c r="H130" i="1" s="1"/>
  <c r="H131" i="1" a="1"/>
  <c r="H131" i="1" s="1"/>
  <c r="H132" i="1" a="1"/>
  <c r="H132" i="1" s="1"/>
  <c r="H133" i="1" a="1"/>
  <c r="H133" i="1" s="1"/>
  <c r="H134" i="1" a="1"/>
  <c r="H134" i="1" s="1"/>
  <c r="H135" i="1" a="1"/>
  <c r="H135" i="1" s="1"/>
  <c r="H136" i="1" a="1"/>
  <c r="H136" i="1" s="1"/>
  <c r="H137" i="1" a="1"/>
  <c r="H137" i="1"/>
  <c r="H138" i="1" a="1"/>
  <c r="H138" i="1" s="1"/>
  <c r="H139" i="1" a="1"/>
  <c r="H139" i="1" s="1"/>
  <c r="H140" i="1" a="1"/>
  <c r="H140" i="1" s="1"/>
  <c r="H141" i="1" a="1"/>
  <c r="H141" i="1" s="1"/>
  <c r="H142" i="1" a="1"/>
  <c r="H142" i="1" s="1"/>
  <c r="H143" i="1" a="1"/>
  <c r="H143" i="1" s="1"/>
  <c r="H144" i="1" a="1"/>
  <c r="H144" i="1" s="1"/>
  <c r="H145" i="1" a="1"/>
  <c r="H145" i="1"/>
  <c r="H146" i="1" a="1"/>
  <c r="H146" i="1" s="1"/>
  <c r="H147" i="1" a="1"/>
  <c r="H147" i="1" s="1"/>
  <c r="H148" i="1" a="1"/>
  <c r="H148" i="1" s="1"/>
  <c r="H149" i="1" a="1"/>
  <c r="H149" i="1" s="1"/>
  <c r="H150" i="1" a="1"/>
  <c r="H150" i="1" s="1"/>
  <c r="H151" i="1" a="1"/>
  <c r="H151" i="1" s="1"/>
  <c r="H152" i="1" a="1"/>
  <c r="H152" i="1" s="1"/>
  <c r="H153" i="1" a="1"/>
  <c r="H153" i="1" s="1"/>
  <c r="H154" i="1" a="1"/>
  <c r="H154" i="1" s="1"/>
  <c r="H155" i="1" a="1"/>
  <c r="H155" i="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c r="H170" i="1" a="1"/>
  <c r="H170" i="1" s="1"/>
  <c r="H171" i="1" a="1"/>
  <c r="H171" i="1" s="1"/>
  <c r="H172" i="1" a="1"/>
  <c r="H172" i="1" s="1"/>
  <c r="H173" i="1" a="1"/>
  <c r="H173" i="1"/>
  <c r="H174" i="1" a="1"/>
  <c r="H174" i="1" s="1"/>
  <c r="H175" i="1" a="1"/>
  <c r="H175" i="1" s="1"/>
  <c r="H176" i="1" a="1"/>
  <c r="H176" i="1" s="1"/>
  <c r="H177" i="1" a="1"/>
  <c r="H177" i="1"/>
  <c r="H178" i="1" a="1"/>
  <c r="H178" i="1" s="1"/>
  <c r="H179" i="1" a="1"/>
  <c r="H179" i="1" s="1"/>
  <c r="H180" i="1" a="1"/>
  <c r="H180" i="1" s="1"/>
  <c r="H181" i="1" a="1"/>
  <c r="H181" i="1" s="1"/>
  <c r="H182" i="1" a="1"/>
  <c r="H182" i="1" s="1"/>
  <c r="H183" i="1" a="1"/>
  <c r="H183" i="1" s="1"/>
  <c r="H184" i="1" a="1"/>
  <c r="H184" i="1" s="1"/>
  <c r="H185" i="1" a="1"/>
  <c r="H185" i="1"/>
  <c r="H186" i="1" a="1"/>
  <c r="H186" i="1" s="1"/>
  <c r="H187" i="1" a="1"/>
  <c r="H187" i="1" s="1"/>
  <c r="H188" i="1" a="1"/>
  <c r="H188" i="1" s="1"/>
  <c r="H189" i="1" a="1"/>
  <c r="H189" i="1" s="1"/>
  <c r="H190" i="1" a="1"/>
  <c r="H190" i="1" s="1"/>
  <c r="H191" i="1" a="1"/>
  <c r="H191" i="1"/>
  <c r="H192" i="1" a="1"/>
  <c r="H192" i="1" s="1"/>
  <c r="H193" i="1" a="1"/>
  <c r="H193" i="1" s="1"/>
  <c r="H194" i="1" a="1"/>
  <c r="H194" i="1" s="1"/>
  <c r="H195" i="1" a="1"/>
  <c r="H195" i="1" s="1"/>
  <c r="H196" i="1" a="1"/>
  <c r="H196" i="1" s="1"/>
  <c r="H197" i="1" a="1"/>
  <c r="H197" i="1" s="1"/>
  <c r="H198" i="1" a="1"/>
  <c r="H198" i="1" s="1"/>
  <c r="H199" i="1" a="1"/>
  <c r="H199" i="1" s="1"/>
  <c r="H200" i="1" a="1"/>
  <c r="H200" i="1" s="1"/>
  <c r="H201" i="1" a="1"/>
  <c r="H201" i="1"/>
  <c r="H202" i="1" a="1"/>
  <c r="H202" i="1" s="1"/>
  <c r="H203" i="1" a="1"/>
  <c r="H203" i="1" s="1"/>
  <c r="H204" i="1" a="1"/>
  <c r="H204" i="1" s="1"/>
  <c r="H205" i="1" a="1"/>
  <c r="H205" i="1" s="1"/>
  <c r="H206" i="1" a="1"/>
  <c r="H206" i="1" s="1"/>
  <c r="H207" i="1" a="1"/>
  <c r="H207" i="1"/>
  <c r="H208" i="1" a="1"/>
  <c r="H208" i="1" s="1"/>
  <c r="H209" i="1" a="1"/>
  <c r="H209" i="1" s="1"/>
  <c r="H210" i="1" a="1"/>
  <c r="H210" i="1" s="1"/>
  <c r="H211" i="1" a="1"/>
  <c r="H211" i="1" s="1"/>
  <c r="H212" i="1" a="1"/>
  <c r="H212" i="1" s="1"/>
  <c r="H213" i="1" a="1"/>
  <c r="H213" i="1" s="1"/>
  <c r="H214" i="1" a="1"/>
  <c r="H214" i="1" s="1"/>
  <c r="H215" i="1" a="1"/>
  <c r="H215" i="1"/>
  <c r="H216" i="1" a="1"/>
  <c r="H216" i="1" s="1"/>
  <c r="H217" i="1" a="1"/>
  <c r="H217" i="1" s="1"/>
  <c r="H218" i="1" a="1"/>
  <c r="H218" i="1" s="1"/>
  <c r="H219" i="1" a="1"/>
  <c r="H219" i="1" s="1"/>
  <c r="H220" i="1" a="1"/>
  <c r="H220" i="1" s="1"/>
  <c r="H221" i="1" a="1"/>
  <c r="H221" i="1" s="1"/>
  <c r="H222" i="1" a="1"/>
  <c r="H222" i="1" s="1"/>
  <c r="H223" i="1" a="1"/>
  <c r="H223" i="1"/>
  <c r="H224" i="1" a="1"/>
  <c r="H224" i="1" s="1"/>
  <c r="H225" i="1" a="1"/>
  <c r="H225" i="1" s="1"/>
  <c r="H226" i="1" a="1"/>
  <c r="H226" i="1" s="1"/>
  <c r="H227" i="1" a="1"/>
  <c r="H227" i="1" s="1"/>
  <c r="H228" i="1" a="1"/>
  <c r="H228" i="1" s="1"/>
  <c r="H229" i="1" a="1"/>
  <c r="H229" i="1"/>
  <c r="H230" i="1" a="1"/>
  <c r="H230" i="1" s="1"/>
  <c r="H231" i="1" a="1"/>
  <c r="H231" i="1" s="1"/>
  <c r="H232" i="1" a="1"/>
  <c r="H232" i="1" s="1"/>
  <c r="H233" i="1" a="1"/>
  <c r="H233" i="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c r="H248" i="1" a="1"/>
  <c r="H248" i="1" s="1"/>
  <c r="H249" i="1" a="1"/>
  <c r="H249" i="1" s="1"/>
  <c r="H250" i="1" a="1"/>
  <c r="H250" i="1" s="1"/>
  <c r="H251" i="1" a="1"/>
  <c r="H251" i="1" s="1"/>
  <c r="H252" i="1" a="1"/>
  <c r="H252" i="1" s="1"/>
  <c r="H253" i="1" a="1"/>
  <c r="H253" i="1" s="1"/>
  <c r="H254" i="1" a="1"/>
  <c r="H254" i="1" s="1"/>
  <c r="H255" i="1" a="1"/>
  <c r="H255" i="1" s="1"/>
  <c r="H256" i="1" a="1"/>
  <c r="H256" i="1" s="1"/>
  <c r="H257" i="1" a="1"/>
  <c r="H257" i="1"/>
  <c r="H258" i="1" a="1"/>
  <c r="H258" i="1" s="1"/>
  <c r="H259" i="1" a="1"/>
  <c r="H259" i="1" s="1"/>
  <c r="H260" i="1" a="1"/>
  <c r="H260" i="1" s="1"/>
  <c r="H261" i="1" a="1"/>
  <c r="H261" i="1" s="1"/>
  <c r="H262" i="1" a="1"/>
  <c r="H262" i="1" s="1"/>
  <c r="H263" i="1" a="1"/>
  <c r="H263" i="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c r="H278" i="1" a="1"/>
  <c r="H278" i="1" s="1"/>
  <c r="H279" i="1" a="1"/>
  <c r="H279" i="1" s="1"/>
  <c r="H280" i="1" a="1"/>
  <c r="H280" i="1" s="1"/>
  <c r="H281" i="1" a="1"/>
  <c r="H281" i="1" s="1"/>
  <c r="H282" i="1" a="1"/>
  <c r="H282" i="1" s="1"/>
  <c r="H283" i="1" a="1"/>
  <c r="H283" i="1" s="1"/>
  <c r="H284" i="1" a="1"/>
  <c r="H284" i="1" s="1"/>
  <c r="H285" i="1" a="1"/>
  <c r="H285" i="1" s="1"/>
  <c r="H286" i="1" a="1"/>
  <c r="H286" i="1" s="1"/>
  <c r="H287" i="1" a="1"/>
  <c r="H287" i="1"/>
  <c r="H288" i="1" a="1"/>
  <c r="H288" i="1" s="1"/>
  <c r="H289" i="1" a="1"/>
  <c r="H289" i="1" s="1"/>
  <c r="H290" i="1" a="1"/>
  <c r="H290" i="1" s="1"/>
  <c r="H291" i="1" a="1"/>
  <c r="H291" i="1" s="1"/>
  <c r="H292" i="1" a="1"/>
  <c r="H292" i="1" s="1"/>
  <c r="H293" i="1" a="1"/>
  <c r="H293" i="1" s="1"/>
  <c r="H294" i="1" a="1"/>
  <c r="H294" i="1" s="1"/>
  <c r="H295" i="1" a="1"/>
  <c r="H295" i="1"/>
  <c r="H296" i="1" a="1"/>
  <c r="H296" i="1" s="1"/>
  <c r="H297" i="1" a="1"/>
  <c r="H297" i="1" s="1"/>
  <c r="H298" i="1" a="1"/>
  <c r="H298" i="1" s="1"/>
  <c r="H299" i="1" a="1"/>
  <c r="H299" i="1" s="1"/>
  <c r="H300" i="1" a="1"/>
  <c r="H300" i="1"/>
  <c r="H301" i="1" a="1"/>
  <c r="H301" i="1" s="1"/>
  <c r="H302" i="1" a="1"/>
  <c r="H302" i="1" s="1"/>
  <c r="H303" i="1" a="1"/>
  <c r="H303" i="1" s="1"/>
  <c r="H304" i="1" a="1"/>
  <c r="H304" i="1"/>
  <c r="H305" i="1" a="1"/>
  <c r="H305" i="1" s="1"/>
  <c r="H306" i="1" a="1"/>
  <c r="H306" i="1" s="1"/>
  <c r="H307" i="1" a="1"/>
  <c r="H307" i="1" s="1"/>
  <c r="H308" i="1" a="1"/>
  <c r="H308" i="1"/>
  <c r="H309" i="1" a="1"/>
  <c r="H309" i="1" s="1"/>
  <c r="H310" i="1" a="1"/>
  <c r="H310" i="1" s="1"/>
  <c r="H311" i="1" a="1"/>
  <c r="H311" i="1" s="1"/>
  <c r="H312" i="1" a="1"/>
  <c r="H312" i="1" s="1"/>
  <c r="H313" i="1" a="1"/>
  <c r="H313" i="1" s="1"/>
  <c r="H314" i="1" a="1"/>
  <c r="H314" i="1"/>
  <c r="H315" i="1" a="1"/>
  <c r="H315" i="1" s="1"/>
  <c r="H316" i="1" a="1"/>
  <c r="H316" i="1" s="1"/>
  <c r="H317" i="1" a="1"/>
  <c r="H317" i="1" s="1"/>
  <c r="H318" i="1" a="1"/>
  <c r="H318" i="1"/>
  <c r="H319" i="1" a="1"/>
  <c r="H319" i="1" s="1"/>
  <c r="H320" i="1" a="1"/>
  <c r="H320" i="1" s="1"/>
  <c r="H321" i="1" a="1"/>
  <c r="H321" i="1" s="1"/>
  <c r="H322" i="1" a="1"/>
  <c r="H322" i="1" s="1"/>
  <c r="H323" i="1" a="1"/>
  <c r="H323" i="1" s="1"/>
  <c r="H324" i="1" a="1"/>
  <c r="H324" i="1"/>
  <c r="H325" i="1" a="1"/>
  <c r="H325" i="1" s="1"/>
  <c r="H326" i="1" a="1"/>
  <c r="H326" i="1" s="1"/>
  <c r="H327" i="1" a="1"/>
  <c r="H327" i="1" s="1"/>
  <c r="H328" i="1" a="1"/>
  <c r="H328" i="1" s="1"/>
  <c r="H329" i="1" a="1"/>
  <c r="H329" i="1" s="1"/>
  <c r="H330" i="1" a="1"/>
  <c r="H330" i="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c r="H343" i="1" a="1"/>
  <c r="H343" i="1" s="1"/>
  <c r="H344" i="1" a="1"/>
  <c r="H344" i="1" s="1"/>
  <c r="H345" i="1" a="1"/>
  <c r="H345" i="1" s="1"/>
  <c r="H346" i="1" a="1"/>
  <c r="H346" i="1" s="1"/>
  <c r="H347" i="1" a="1"/>
  <c r="H347" i="1" s="1"/>
  <c r="H348" i="1" a="1"/>
  <c r="H348" i="1" s="1"/>
  <c r="H349" i="1" a="1"/>
  <c r="H349" i="1" s="1"/>
  <c r="H350" i="1" a="1"/>
  <c r="H350" i="1"/>
  <c r="H351" i="1" a="1"/>
  <c r="H351" i="1" s="1"/>
  <c r="H352" i="1" a="1"/>
  <c r="H352" i="1" s="1"/>
  <c r="H353" i="1" a="1"/>
  <c r="H353" i="1" s="1"/>
  <c r="H354" i="1" a="1"/>
  <c r="H354" i="1" s="1"/>
  <c r="H355" i="1" a="1"/>
  <c r="H355" i="1" s="1"/>
  <c r="H356" i="1" a="1"/>
  <c r="H356" i="1"/>
  <c r="H357" i="1" a="1"/>
  <c r="H357" i="1" s="1"/>
  <c r="H358" i="1" a="1"/>
  <c r="H358" i="1" s="1"/>
  <c r="H359" i="1" a="1"/>
  <c r="H359" i="1" s="1"/>
  <c r="H360" i="1" a="1"/>
  <c r="H360" i="1" s="1"/>
  <c r="H361" i="1" a="1"/>
  <c r="H361" i="1" s="1"/>
  <c r="H362" i="1" a="1"/>
  <c r="H362" i="1"/>
  <c r="H363" i="1" a="1"/>
  <c r="H363" i="1" s="1"/>
  <c r="H364" i="1" a="1"/>
  <c r="H364" i="1" s="1"/>
  <c r="H365" i="1" a="1"/>
  <c r="H365" i="1" s="1"/>
  <c r="H366" i="1" a="1"/>
  <c r="H366" i="1" s="1"/>
  <c r="H367" i="1" a="1"/>
  <c r="H367" i="1" s="1"/>
  <c r="H368" i="1" a="1"/>
  <c r="H368" i="1" s="1"/>
  <c r="H369" i="1" a="1"/>
  <c r="H369" i="1" s="1"/>
  <c r="H370" i="1" a="1"/>
  <c r="H370" i="1" s="1"/>
  <c r="H371" i="1" a="1"/>
  <c r="H371" i="1" s="1"/>
  <c r="H372" i="1" a="1"/>
  <c r="H372" i="1"/>
  <c r="H373" i="1" a="1"/>
  <c r="H373" i="1" s="1"/>
  <c r="H374" i="1" a="1"/>
  <c r="H374" i="1" s="1"/>
  <c r="H375" i="1" a="1"/>
  <c r="H375" i="1" s="1"/>
  <c r="H376" i="1" a="1"/>
  <c r="H376" i="1" s="1"/>
  <c r="H377" i="1" a="1"/>
  <c r="H377" i="1" s="1"/>
  <c r="H378" i="1" a="1"/>
  <c r="H378" i="1"/>
  <c r="H379" i="1" a="1"/>
  <c r="H379" i="1" s="1"/>
  <c r="H380" i="1" a="1"/>
  <c r="H380" i="1" s="1"/>
  <c r="H381" i="1" a="1"/>
  <c r="H381" i="1" s="1"/>
  <c r="H382" i="1" a="1"/>
  <c r="H382" i="1"/>
  <c r="H383" i="1" a="1"/>
  <c r="H383" i="1" s="1"/>
  <c r="H384" i="1" a="1"/>
  <c r="H384" i="1" s="1"/>
  <c r="H385" i="1" a="1"/>
  <c r="H385" i="1" s="1"/>
  <c r="H386" i="1" a="1"/>
  <c r="H386" i="1" s="1"/>
  <c r="H387" i="1" a="1"/>
  <c r="H387" i="1" s="1"/>
  <c r="H388" i="1" a="1"/>
  <c r="H388" i="1"/>
  <c r="H389" i="1" a="1"/>
  <c r="H389" i="1" s="1"/>
  <c r="H390" i="1" a="1"/>
  <c r="H390" i="1" s="1"/>
  <c r="H391" i="1" a="1"/>
  <c r="H391" i="1" s="1"/>
  <c r="H392" i="1" a="1"/>
  <c r="H392" i="1" s="1"/>
  <c r="H393" i="1" a="1"/>
  <c r="H393" i="1" s="1"/>
  <c r="H394" i="1" a="1"/>
  <c r="H394" i="1"/>
  <c r="H395" i="1" a="1"/>
  <c r="H395" i="1" s="1"/>
  <c r="H396" i="1" a="1"/>
  <c r="H396" i="1" s="1"/>
  <c r="H397" i="1" a="1"/>
  <c r="H397" i="1" s="1"/>
  <c r="H398" i="1" a="1"/>
  <c r="H398" i="1" s="1"/>
  <c r="H399" i="1" a="1"/>
  <c r="H399" i="1" s="1"/>
  <c r="H400" i="1" a="1"/>
  <c r="H400" i="1" s="1"/>
  <c r="H401" i="1" a="1"/>
  <c r="H401" i="1" s="1"/>
  <c r="H402" i="1" a="1"/>
  <c r="H402" i="1" s="1"/>
  <c r="H403" i="1" a="1"/>
  <c r="H403" i="1" s="1"/>
  <c r="H404" i="1" a="1"/>
  <c r="H404" i="1" s="1"/>
  <c r="H405" i="1" a="1"/>
  <c r="H405" i="1" s="1"/>
  <c r="H406" i="1" a="1"/>
  <c r="H406" i="1"/>
  <c r="H407" i="1" a="1"/>
  <c r="H407" i="1" s="1"/>
  <c r="H408" i="1" a="1"/>
  <c r="H408" i="1" s="1"/>
  <c r="H409" i="1" a="1"/>
  <c r="H409" i="1" s="1"/>
  <c r="H410" i="1" a="1"/>
  <c r="H410" i="1" s="1"/>
  <c r="H411" i="1" a="1"/>
  <c r="H411" i="1" s="1"/>
  <c r="H412" i="1" a="1"/>
  <c r="H412" i="1" s="1"/>
  <c r="H413" i="1" a="1"/>
  <c r="H413" i="1" s="1"/>
  <c r="H414" i="1" a="1"/>
  <c r="H414" i="1"/>
  <c r="H415" i="1" a="1"/>
  <c r="H415" i="1" s="1"/>
  <c r="H416" i="1" a="1"/>
  <c r="H416" i="1" s="1"/>
  <c r="H417" i="1" a="1"/>
  <c r="H417" i="1" s="1"/>
  <c r="H418" i="1" a="1"/>
  <c r="H418" i="1" s="1"/>
  <c r="H419" i="1" a="1"/>
  <c r="H419" i="1" s="1"/>
  <c r="H420" i="1" a="1"/>
  <c r="H420" i="1"/>
  <c r="H421" i="1" a="1"/>
  <c r="H421" i="1" s="1"/>
  <c r="H422" i="1" a="1"/>
  <c r="H422" i="1" s="1"/>
  <c r="H423" i="1" a="1"/>
  <c r="H423" i="1" s="1"/>
  <c r="H424" i="1" a="1"/>
  <c r="H424" i="1" s="1"/>
  <c r="H425" i="1" a="1"/>
  <c r="H425" i="1" s="1"/>
  <c r="H426" i="1" a="1"/>
  <c r="H426" i="1"/>
  <c r="H427" i="1" a="1"/>
  <c r="H427" i="1" s="1"/>
  <c r="H428" i="1" a="1"/>
  <c r="H428" i="1" s="1"/>
  <c r="H429" i="1" a="1"/>
  <c r="H429" i="1" s="1"/>
  <c r="H430" i="1" a="1"/>
  <c r="H430" i="1" s="1"/>
  <c r="H431" i="1" a="1"/>
  <c r="H431" i="1" s="1"/>
  <c r="H432" i="1" a="1"/>
  <c r="H432" i="1" s="1"/>
  <c r="H433" i="1" a="1"/>
  <c r="H433" i="1" s="1"/>
  <c r="H434" i="1" a="1"/>
  <c r="H434" i="1" s="1"/>
  <c r="H435" i="1" a="1"/>
  <c r="H435" i="1" s="1"/>
  <c r="H436" i="1" a="1"/>
  <c r="H436" i="1"/>
  <c r="H437" i="1" a="1"/>
  <c r="H437" i="1" s="1"/>
  <c r="H438" i="1" a="1"/>
  <c r="H438" i="1" s="1"/>
  <c r="H439" i="1" a="1"/>
  <c r="H439" i="1" s="1"/>
  <c r="H440" i="1" a="1"/>
  <c r="H440" i="1" s="1"/>
  <c r="H441" i="1" a="1"/>
  <c r="H441" i="1" s="1"/>
  <c r="H442" i="1" a="1"/>
  <c r="H442" i="1"/>
  <c r="H443" i="1" a="1"/>
  <c r="H443" i="1" s="1"/>
  <c r="H444" i="1" a="1"/>
  <c r="H444" i="1" s="1"/>
  <c r="H445" i="1" a="1"/>
  <c r="H445" i="1" s="1"/>
  <c r="H446" i="1" a="1"/>
  <c r="H446" i="1"/>
  <c r="H447" i="1" a="1"/>
  <c r="H447" i="1" s="1"/>
  <c r="H448" i="1" a="1"/>
  <c r="H448" i="1" s="1"/>
  <c r="H449" i="1" a="1"/>
  <c r="H449" i="1" s="1"/>
  <c r="H450" i="1" a="1"/>
  <c r="H450" i="1" s="1"/>
  <c r="H451" i="1" a="1"/>
  <c r="H451" i="1" s="1"/>
  <c r="H452" i="1" a="1"/>
  <c r="H452" i="1"/>
  <c r="H453" i="1" a="1"/>
  <c r="H453" i="1" s="1"/>
  <c r="H454" i="1" a="1"/>
  <c r="H454" i="1" s="1"/>
  <c r="H455" i="1" a="1"/>
  <c r="H455" i="1" s="1"/>
  <c r="H456" i="1" a="1"/>
  <c r="H456" i="1" s="1"/>
  <c r="H457" i="1" a="1"/>
  <c r="H457" i="1" s="1"/>
  <c r="H458" i="1" a="1"/>
  <c r="H458" i="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c r="H471" i="1" a="1"/>
  <c r="H471" i="1" s="1"/>
  <c r="H472" i="1" a="1"/>
  <c r="H472" i="1" s="1"/>
  <c r="H473" i="1" a="1"/>
  <c r="H473" i="1" s="1"/>
  <c r="H474" i="1" a="1"/>
  <c r="H474" i="1" s="1"/>
  <c r="H475" i="1" a="1"/>
  <c r="H475" i="1" s="1"/>
  <c r="H476" i="1" a="1"/>
  <c r="H476" i="1" s="1"/>
  <c r="H477" i="1" a="1"/>
  <c r="H477" i="1" s="1"/>
  <c r="H478" i="1" a="1"/>
  <c r="H478" i="1"/>
  <c r="H479" i="1" a="1"/>
  <c r="H479" i="1" s="1"/>
  <c r="H480" i="1" a="1"/>
  <c r="H480" i="1" s="1"/>
  <c r="H481" i="1" a="1"/>
  <c r="H481" i="1" s="1"/>
  <c r="H482" i="1" a="1"/>
  <c r="H482" i="1" s="1"/>
  <c r="H483" i="1" a="1"/>
  <c r="H483" i="1" s="1"/>
  <c r="H484" i="1" a="1"/>
  <c r="H484" i="1"/>
  <c r="H485" i="1" a="1"/>
  <c r="H485" i="1" s="1"/>
  <c r="H486" i="1" a="1"/>
  <c r="H486" i="1" s="1"/>
  <c r="H487" i="1" a="1"/>
  <c r="H487" i="1" s="1"/>
  <c r="H488" i="1" a="1"/>
  <c r="H488" i="1" s="1"/>
  <c r="H489" i="1" a="1"/>
  <c r="H489" i="1" s="1"/>
  <c r="H490" i="1" a="1"/>
  <c r="H490" i="1"/>
  <c r="H491" i="1" a="1"/>
  <c r="H491" i="1" s="1"/>
  <c r="H492" i="1" a="1"/>
  <c r="H492" i="1" s="1"/>
  <c r="H493" i="1" a="1"/>
  <c r="H493" i="1" s="1"/>
  <c r="H494" i="1" a="1"/>
  <c r="H494" i="1" s="1"/>
  <c r="H495" i="1" a="1"/>
  <c r="H495" i="1" s="1"/>
  <c r="H496" i="1" a="1"/>
  <c r="H496" i="1" s="1"/>
  <c r="H497" i="1" a="1"/>
  <c r="H497" i="1" s="1"/>
  <c r="H498" i="1" a="1"/>
  <c r="H498" i="1" s="1"/>
  <c r="H499" i="1" a="1"/>
  <c r="H499" i="1" s="1"/>
  <c r="H500" i="1" a="1"/>
  <c r="H500" i="1"/>
  <c r="H501" i="1" a="1"/>
  <c r="H501" i="1" s="1"/>
  <c r="H502" i="1" a="1"/>
  <c r="H502" i="1" s="1"/>
  <c r="H503" i="1" a="1"/>
  <c r="H503" i="1" s="1"/>
  <c r="H504" i="1" a="1"/>
  <c r="H504" i="1" s="1"/>
  <c r="H505" i="1" a="1"/>
  <c r="H505" i="1" s="1"/>
  <c r="H506" i="1" a="1"/>
  <c r="H506" i="1"/>
  <c r="H507" i="1" a="1"/>
  <c r="H507" i="1" s="1"/>
  <c r="H508" i="1" a="1"/>
  <c r="H508" i="1" s="1"/>
  <c r="H509" i="1" a="1"/>
  <c r="H509" i="1" s="1"/>
  <c r="H510" i="1" a="1"/>
  <c r="H510" i="1"/>
  <c r="H511" i="1" a="1"/>
  <c r="H511" i="1" s="1"/>
  <c r="H512" i="1" a="1"/>
  <c r="H512" i="1" s="1"/>
  <c r="H513" i="1" a="1"/>
  <c r="H513" i="1" s="1"/>
  <c r="H514" i="1" a="1"/>
  <c r="H514" i="1" s="1"/>
  <c r="H515" i="1" a="1"/>
  <c r="H515" i="1" s="1"/>
  <c r="H516" i="1" a="1"/>
  <c r="H516" i="1"/>
  <c r="H517" i="1" a="1"/>
  <c r="H517" i="1" s="1"/>
  <c r="H518" i="1" a="1"/>
  <c r="H518" i="1" s="1"/>
  <c r="H519" i="1" a="1"/>
  <c r="H519" i="1" s="1"/>
  <c r="H520" i="1" a="1"/>
  <c r="H520" i="1" s="1"/>
  <c r="H521" i="1" a="1"/>
  <c r="H521" i="1" s="1"/>
  <c r="H522" i="1" a="1"/>
  <c r="H522" i="1"/>
  <c r="H523" i="1" a="1"/>
  <c r="H523" i="1" s="1"/>
  <c r="H524" i="1" a="1"/>
  <c r="H524" i="1" s="1"/>
  <c r="H525" i="1" a="1"/>
  <c r="H525" i="1" s="1"/>
  <c r="H526" i="1" a="1"/>
  <c r="H526" i="1" s="1"/>
  <c r="H527" i="1" a="1"/>
  <c r="H527" i="1" s="1"/>
  <c r="H528" i="1" a="1"/>
  <c r="H528" i="1" s="1"/>
  <c r="H529" i="1" a="1"/>
  <c r="H529" i="1" s="1"/>
  <c r="H530" i="1" a="1"/>
  <c r="H530" i="1" s="1"/>
  <c r="H531" i="1" a="1"/>
  <c r="H531" i="1" s="1"/>
  <c r="H532" i="1" a="1"/>
  <c r="H532" i="1" s="1"/>
  <c r="H533" i="1" a="1"/>
  <c r="H533" i="1" s="1"/>
  <c r="H534" i="1" a="1"/>
  <c r="H534" i="1"/>
  <c r="H535" i="1" a="1"/>
  <c r="H535" i="1" s="1"/>
  <c r="H536" i="1" a="1"/>
  <c r="H536" i="1" s="1"/>
  <c r="H537" i="1" a="1"/>
  <c r="H537" i="1" s="1"/>
  <c r="H538" i="1" a="1"/>
  <c r="H538" i="1" s="1"/>
  <c r="H539" i="1" a="1"/>
  <c r="H539" i="1" s="1"/>
  <c r="H540" i="1" a="1"/>
  <c r="H540" i="1" s="1"/>
  <c r="H541" i="1" a="1"/>
  <c r="H541" i="1" s="1"/>
  <c r="H542" i="1" a="1"/>
  <c r="H542" i="1"/>
  <c r="H543" i="1" a="1"/>
  <c r="H543" i="1" s="1"/>
  <c r="H544" i="1" a="1"/>
  <c r="H544" i="1" s="1"/>
  <c r="H545" i="1" a="1"/>
  <c r="H545" i="1" s="1"/>
  <c r="H546" i="1" a="1"/>
  <c r="H546" i="1" s="1"/>
  <c r="H547" i="1" a="1"/>
  <c r="H547" i="1" s="1"/>
  <c r="H548" i="1" a="1"/>
  <c r="H548" i="1"/>
  <c r="H549" i="1" a="1"/>
  <c r="H549" i="1" s="1"/>
  <c r="H550" i="1" a="1"/>
  <c r="H550" i="1" s="1"/>
  <c r="H551" i="1" a="1"/>
  <c r="H551" i="1" s="1"/>
  <c r="H552" i="1" a="1"/>
  <c r="H552" i="1" s="1"/>
  <c r="H553" i="1" a="1"/>
  <c r="H553" i="1" s="1"/>
  <c r="H554" i="1" a="1"/>
  <c r="H554" i="1"/>
  <c r="H555" i="1" a="1"/>
  <c r="H555" i="1" s="1"/>
  <c r="H556" i="1" a="1"/>
  <c r="H556" i="1" s="1"/>
  <c r="H557" i="1" a="1"/>
  <c r="H557" i="1" s="1"/>
  <c r="H558" i="1" a="1"/>
  <c r="H558" i="1" s="1"/>
  <c r="H559" i="1" a="1"/>
  <c r="H559" i="1" s="1"/>
  <c r="H560" i="1" a="1"/>
  <c r="H560" i="1" s="1"/>
  <c r="H561" i="1" a="1"/>
  <c r="H561" i="1" s="1"/>
  <c r="H562" i="1" a="1"/>
  <c r="H562" i="1" s="1"/>
  <c r="H563" i="1" a="1"/>
  <c r="H563" i="1" s="1"/>
  <c r="H564" i="1" a="1"/>
  <c r="H564" i="1"/>
  <c r="H565" i="1" a="1"/>
  <c r="H565" i="1" s="1"/>
  <c r="H566" i="1" a="1"/>
  <c r="H566" i="1" s="1"/>
  <c r="H567" i="1" a="1"/>
  <c r="H567" i="1" s="1"/>
  <c r="H568" i="1" a="1"/>
  <c r="H568" i="1" s="1"/>
  <c r="H569" i="1" a="1"/>
  <c r="H569" i="1" s="1"/>
  <c r="H570" i="1" a="1"/>
  <c r="H570" i="1"/>
  <c r="H571" i="1" a="1"/>
  <c r="H571" i="1" s="1"/>
  <c r="H572" i="1" a="1"/>
  <c r="H572" i="1" s="1"/>
  <c r="H573" i="1" a="1"/>
  <c r="H573" i="1" s="1"/>
  <c r="H574" i="1" a="1"/>
  <c r="H574" i="1"/>
  <c r="H575" i="1" a="1"/>
  <c r="H575" i="1" s="1"/>
  <c r="H576" i="1" a="1"/>
  <c r="H576" i="1" s="1"/>
  <c r="H577" i="1" a="1"/>
  <c r="H577" i="1" s="1"/>
  <c r="H578" i="1" a="1"/>
  <c r="H578" i="1" s="1"/>
  <c r="H579" i="1" a="1"/>
  <c r="H579" i="1" s="1"/>
  <c r="H580" i="1" a="1"/>
  <c r="H580" i="1"/>
  <c r="H581" i="1" a="1"/>
  <c r="H581" i="1" s="1"/>
  <c r="H582" i="1" a="1"/>
  <c r="H582" i="1" s="1"/>
  <c r="H583" i="1" a="1"/>
  <c r="H583" i="1" s="1"/>
  <c r="H584" i="1" a="1"/>
  <c r="H584" i="1" s="1"/>
  <c r="H585" i="1" a="1"/>
  <c r="H585" i="1" s="1"/>
  <c r="H586" i="1" a="1"/>
  <c r="H586" i="1"/>
  <c r="H587" i="1" a="1"/>
  <c r="H587" i="1" s="1"/>
  <c r="H588" i="1" a="1"/>
  <c r="H588" i="1" s="1"/>
  <c r="H589" i="1" a="1"/>
  <c r="H589" i="1" s="1"/>
  <c r="H590" i="1" a="1"/>
  <c r="H590" i="1" s="1"/>
  <c r="H591" i="1" a="1"/>
  <c r="H591" i="1" s="1"/>
  <c r="H592" i="1" a="1"/>
  <c r="H592" i="1" s="1"/>
  <c r="H593" i="1" a="1"/>
  <c r="H593" i="1" s="1"/>
  <c r="H594" i="1" a="1"/>
  <c r="H594" i="1" s="1"/>
  <c r="H595" i="1" a="1"/>
  <c r="H595" i="1" s="1"/>
  <c r="H596" i="1" a="1"/>
  <c r="H596" i="1" s="1"/>
  <c r="H597" i="1" a="1"/>
  <c r="H597" i="1" s="1"/>
  <c r="H598" i="1" a="1"/>
  <c r="H598" i="1"/>
  <c r="H599" i="1" a="1"/>
  <c r="H599" i="1" s="1"/>
  <c r="H600" i="1" a="1"/>
  <c r="H600" i="1" s="1"/>
  <c r="H601" i="1" a="1"/>
  <c r="H601" i="1" s="1"/>
  <c r="H602" i="1" a="1"/>
  <c r="H602" i="1" s="1"/>
  <c r="H603" i="1" a="1"/>
  <c r="H603" i="1" s="1"/>
  <c r="H604" i="1" a="1"/>
  <c r="H604" i="1" s="1"/>
  <c r="H605" i="1" a="1"/>
  <c r="H605" i="1" s="1"/>
  <c r="H606" i="1" a="1"/>
  <c r="H606" i="1"/>
  <c r="H607" i="1" a="1"/>
  <c r="H607" i="1" s="1"/>
  <c r="H608" i="1" a="1"/>
  <c r="H608" i="1" s="1"/>
  <c r="H609" i="1" a="1"/>
  <c r="H609" i="1"/>
  <c r="H610" i="1" a="1"/>
  <c r="H610" i="1" s="1"/>
  <c r="H611" i="1" a="1"/>
  <c r="H611" i="1" s="1"/>
  <c r="H612" i="1" a="1"/>
  <c r="H612" i="1" s="1"/>
  <c r="H613" i="1" a="1"/>
  <c r="H613" i="1" s="1"/>
  <c r="H614" i="1" a="1"/>
  <c r="H614" i="1" s="1"/>
  <c r="H615" i="1" a="1"/>
  <c r="H615" i="1"/>
  <c r="H616" i="1" a="1"/>
  <c r="H616" i="1" s="1"/>
  <c r="H617" i="1" a="1"/>
  <c r="H617" i="1" s="1"/>
  <c r="H618" i="1" a="1"/>
  <c r="H618" i="1" s="1"/>
  <c r="H619" i="1" a="1"/>
  <c r="H619" i="1" s="1"/>
  <c r="H620" i="1" a="1"/>
  <c r="H620" i="1" s="1"/>
  <c r="H621" i="1" a="1"/>
  <c r="H621" i="1"/>
  <c r="H622" i="1" a="1"/>
  <c r="H622" i="1" s="1"/>
  <c r="H623" i="1" a="1"/>
  <c r="H623" i="1" s="1"/>
  <c r="H624" i="1" a="1"/>
  <c r="H624" i="1" s="1"/>
  <c r="H625" i="1" a="1"/>
  <c r="H625" i="1"/>
  <c r="H626" i="1" a="1"/>
  <c r="H626" i="1" s="1"/>
  <c r="H627" i="1" a="1"/>
  <c r="H627" i="1" s="1"/>
  <c r="H628" i="1" a="1"/>
  <c r="H628" i="1" s="1"/>
  <c r="H629" i="1" a="1"/>
  <c r="H629" i="1" s="1"/>
  <c r="H630" i="1" a="1"/>
  <c r="H630" i="1" s="1"/>
  <c r="H631" i="1" a="1"/>
  <c r="H631" i="1" s="1"/>
  <c r="H632" i="1" a="1"/>
  <c r="H632" i="1" s="1"/>
  <c r="H633" i="1" a="1"/>
  <c r="H633" i="1"/>
  <c r="H634" i="1" a="1"/>
  <c r="H634" i="1" s="1"/>
  <c r="H635" i="1" a="1"/>
  <c r="H635" i="1" s="1"/>
  <c r="H636" i="1" a="1"/>
  <c r="H636" i="1" s="1"/>
  <c r="H637" i="1" a="1"/>
  <c r="H637" i="1" s="1"/>
  <c r="H638" i="1" a="1"/>
  <c r="H638" i="1" s="1"/>
  <c r="H639" i="1" a="1"/>
  <c r="H639" i="1" s="1"/>
  <c r="H640" i="1" a="1"/>
  <c r="H640" i="1" s="1"/>
  <c r="H641" i="1" a="1"/>
  <c r="H641" i="1"/>
  <c r="H642" i="1" a="1"/>
  <c r="H642" i="1" s="1"/>
  <c r="H643" i="1" a="1"/>
  <c r="H643" i="1" s="1"/>
  <c r="H644" i="1" a="1"/>
  <c r="H644" i="1" s="1"/>
  <c r="H645" i="1" a="1"/>
  <c r="H645" i="1" s="1"/>
  <c r="H646" i="1" a="1"/>
  <c r="H646" i="1" s="1"/>
  <c r="H647" i="1" a="1"/>
  <c r="H647" i="1"/>
  <c r="H648" i="1" a="1"/>
  <c r="H648" i="1" s="1"/>
  <c r="H649" i="1" a="1"/>
  <c r="H649" i="1" s="1"/>
  <c r="H650" i="1" a="1"/>
  <c r="H650" i="1" s="1"/>
  <c r="H651" i="1" a="1"/>
  <c r="H651" i="1" s="1"/>
  <c r="H652" i="1" a="1"/>
  <c r="H652" i="1" s="1"/>
  <c r="H653" i="1" a="1"/>
  <c r="H653" i="1"/>
  <c r="H654" i="1" a="1"/>
  <c r="H654" i="1" s="1"/>
  <c r="H655" i="1" a="1"/>
  <c r="H655" i="1" s="1"/>
  <c r="H656" i="1" a="1"/>
  <c r="H656" i="1" s="1"/>
  <c r="H657" i="1" a="1"/>
  <c r="H657" i="1"/>
  <c r="H658" i="1" a="1"/>
  <c r="H658" i="1" s="1"/>
  <c r="H659" i="1" a="1"/>
  <c r="H659" i="1" s="1"/>
  <c r="H660" i="1" a="1"/>
  <c r="H660" i="1" s="1"/>
  <c r="H661" i="1" a="1"/>
  <c r="H661" i="1" s="1"/>
  <c r="H662" i="1" a="1"/>
  <c r="H662" i="1" s="1"/>
  <c r="H663" i="1" a="1"/>
  <c r="H663" i="1" s="1"/>
  <c r="H664" i="1" a="1"/>
  <c r="H664" i="1" s="1"/>
  <c r="H665" i="1" a="1"/>
  <c r="H665" i="1"/>
  <c r="H666" i="1" a="1"/>
  <c r="H666" i="1" s="1"/>
  <c r="H667" i="1" a="1"/>
  <c r="H667" i="1" s="1"/>
  <c r="H668" i="1" a="1"/>
  <c r="H668" i="1" s="1"/>
  <c r="H669" i="1" a="1"/>
  <c r="H669" i="1" s="1"/>
  <c r="H670" i="1" a="1"/>
  <c r="H670" i="1" s="1"/>
  <c r="H671" i="1" a="1"/>
  <c r="H671" i="1" s="1"/>
  <c r="H672" i="1" a="1"/>
  <c r="H672" i="1" s="1"/>
  <c r="H673" i="1" a="1"/>
  <c r="H673" i="1" s="1"/>
  <c r="H674" i="1" a="1"/>
  <c r="H674" i="1" s="1"/>
  <c r="H675" i="1" a="1"/>
  <c r="H675" i="1" s="1"/>
  <c r="H676" i="1" a="1"/>
  <c r="H676" i="1" s="1"/>
  <c r="H677" i="1" a="1"/>
  <c r="H677" i="1"/>
  <c r="H678" i="1" a="1"/>
  <c r="H678" i="1" s="1"/>
  <c r="H679" i="1" a="1"/>
  <c r="H679" i="1" s="1"/>
  <c r="H680" i="1" a="1"/>
  <c r="H680" i="1" s="1"/>
  <c r="H681" i="1" a="1"/>
  <c r="H681" i="1" s="1"/>
  <c r="H682" i="1" a="1"/>
  <c r="H682" i="1" s="1"/>
  <c r="H683" i="1" a="1"/>
  <c r="H683" i="1" s="1"/>
  <c r="H684" i="1" a="1"/>
  <c r="H684" i="1" s="1"/>
  <c r="H685" i="1" a="1"/>
  <c r="H685" i="1" s="1"/>
  <c r="H686" i="1" a="1"/>
  <c r="H686" i="1" s="1"/>
  <c r="H687" i="1" a="1"/>
  <c r="H687" i="1"/>
  <c r="H688" i="1" a="1"/>
  <c r="H688" i="1" s="1"/>
  <c r="H689" i="1" a="1"/>
  <c r="H689" i="1" s="1"/>
  <c r="H690" i="1" a="1"/>
  <c r="H690" i="1" s="1"/>
  <c r="H691" i="1" a="1"/>
  <c r="H691" i="1" s="1"/>
  <c r="H692" i="1" a="1"/>
  <c r="H692" i="1"/>
  <c r="H693" i="1" a="1"/>
  <c r="H693" i="1" s="1"/>
  <c r="H694" i="1" a="1"/>
  <c r="H694" i="1" s="1"/>
  <c r="H695" i="1" a="1"/>
  <c r="H695" i="1" s="1"/>
  <c r="H696" i="1" a="1"/>
  <c r="H696" i="1"/>
  <c r="H697" i="1" a="1"/>
  <c r="H697" i="1" s="1"/>
  <c r="H698" i="1" a="1"/>
  <c r="H698" i="1" s="1"/>
  <c r="H699" i="1" a="1"/>
  <c r="H699" i="1" s="1"/>
  <c r="H700" i="1" a="1"/>
  <c r="H700" i="1"/>
  <c r="H701" i="1" a="1"/>
  <c r="H701" i="1" s="1"/>
  <c r="H702" i="1" a="1"/>
  <c r="H702" i="1" s="1"/>
  <c r="H703" i="1" a="1"/>
  <c r="H703" i="1" s="1"/>
  <c r="H704" i="1" a="1"/>
  <c r="H704" i="1"/>
  <c r="H705" i="1" a="1"/>
  <c r="H705" i="1" s="1"/>
  <c r="H706" i="1" a="1"/>
  <c r="H706" i="1" s="1"/>
  <c r="H707" i="1" a="1"/>
  <c r="H707" i="1" s="1"/>
  <c r="H708" i="1" a="1"/>
  <c r="H708" i="1"/>
  <c r="H709" i="1" a="1"/>
  <c r="H709" i="1" s="1"/>
  <c r="H710" i="1" a="1"/>
  <c r="H710" i="1" s="1"/>
  <c r="H711" i="1" a="1"/>
  <c r="H711" i="1" s="1"/>
  <c r="H712" i="1" a="1"/>
  <c r="H712" i="1"/>
  <c r="H713" i="1" a="1"/>
  <c r="H713" i="1" s="1"/>
  <c r="H714" i="1" a="1"/>
  <c r="H714" i="1" s="1"/>
  <c r="H715" i="1" a="1"/>
  <c r="H715" i="1" s="1"/>
  <c r="H716" i="1" a="1"/>
  <c r="H716" i="1"/>
  <c r="H717" i="1" a="1"/>
  <c r="H717" i="1" s="1"/>
  <c r="H718" i="1" a="1"/>
  <c r="H718" i="1" s="1"/>
  <c r="H719" i="1" a="1"/>
  <c r="H719" i="1" s="1"/>
  <c r="H720" i="1" a="1"/>
  <c r="H720" i="1"/>
  <c r="H721" i="1" a="1"/>
  <c r="H721" i="1" s="1"/>
  <c r="H722" i="1" a="1"/>
  <c r="H722" i="1" s="1"/>
  <c r="H723" i="1" a="1"/>
  <c r="H723" i="1" s="1"/>
  <c r="H724" i="1" a="1"/>
  <c r="H724" i="1"/>
  <c r="H725" i="1" a="1"/>
  <c r="H725" i="1" s="1"/>
  <c r="H726" i="1" a="1"/>
  <c r="H726" i="1" s="1"/>
  <c r="H727" i="1" a="1"/>
  <c r="H727" i="1" s="1"/>
  <c r="H728" i="1" a="1"/>
  <c r="H728" i="1" s="1"/>
  <c r="H729" i="1" a="1"/>
  <c r="H729" i="1" s="1"/>
  <c r="H730" i="1" a="1"/>
  <c r="H730" i="1"/>
  <c r="H731" i="1" a="1"/>
  <c r="H731" i="1" s="1"/>
  <c r="H732" i="1" a="1"/>
  <c r="H732" i="1" s="1"/>
  <c r="H733" i="1" a="1"/>
  <c r="H733" i="1" s="1"/>
  <c r="H734" i="1" a="1"/>
  <c r="H734" i="1" s="1"/>
  <c r="H735" i="1" a="1"/>
  <c r="H735" i="1" s="1"/>
  <c r="H736" i="1" a="1"/>
  <c r="H736" i="1" s="1"/>
  <c r="H737" i="1" a="1"/>
  <c r="H737" i="1" s="1"/>
  <c r="H738" i="1" a="1"/>
  <c r="H738" i="1"/>
  <c r="H739" i="1" a="1"/>
  <c r="H739" i="1" s="1"/>
  <c r="H740" i="1" a="1"/>
  <c r="H740" i="1" s="1"/>
  <c r="H741" i="1" a="1"/>
  <c r="H741" i="1" s="1"/>
  <c r="H742" i="1" a="1"/>
  <c r="H742" i="1" s="1"/>
  <c r="H743" i="1" a="1"/>
  <c r="H743" i="1" s="1"/>
  <c r="H744" i="1" a="1"/>
  <c r="H744" i="1" s="1"/>
  <c r="H745" i="1" a="1"/>
  <c r="H745" i="1" s="1"/>
  <c r="H746" i="1" a="1"/>
  <c r="H746" i="1"/>
  <c r="H747" i="1" a="1"/>
  <c r="H747" i="1" s="1"/>
  <c r="H748" i="1" a="1"/>
  <c r="H748" i="1" s="1"/>
  <c r="H749" i="1" a="1"/>
  <c r="H749" i="1" s="1"/>
  <c r="H750" i="1" a="1"/>
  <c r="H750" i="1" s="1"/>
  <c r="H751" i="1" a="1"/>
  <c r="H751" i="1" s="1"/>
  <c r="H752" i="1" a="1"/>
  <c r="H752" i="1" s="1"/>
  <c r="H753" i="1" a="1"/>
  <c r="H753" i="1" s="1"/>
  <c r="H754" i="1" a="1"/>
  <c r="H754" i="1"/>
  <c r="H755" i="1" a="1"/>
  <c r="H755" i="1" s="1"/>
  <c r="H756" i="1" a="1"/>
  <c r="H756" i="1" s="1"/>
  <c r="H757" i="1" a="1"/>
  <c r="H757" i="1" s="1"/>
  <c r="H758" i="1" a="1"/>
  <c r="H758" i="1" s="1"/>
  <c r="H759" i="1" a="1"/>
  <c r="H759" i="1" s="1"/>
  <c r="H760" i="1" a="1"/>
  <c r="H760" i="1" s="1"/>
  <c r="H761" i="1" a="1"/>
  <c r="H761" i="1" s="1"/>
  <c r="H762" i="1" a="1"/>
  <c r="H762" i="1"/>
  <c r="H763" i="1" a="1"/>
  <c r="H763" i="1" s="1"/>
  <c r="H764" i="1" a="1"/>
  <c r="H764" i="1" s="1"/>
  <c r="H765" i="1" a="1"/>
  <c r="H765" i="1" s="1"/>
  <c r="H766" i="1" a="1"/>
  <c r="H766" i="1" s="1"/>
  <c r="H767" i="1" a="1"/>
  <c r="H767" i="1" s="1"/>
  <c r="H768" i="1" a="1"/>
  <c r="H768" i="1" s="1"/>
  <c r="H769" i="1" a="1"/>
  <c r="H769" i="1" s="1"/>
  <c r="H770" i="1" a="1"/>
  <c r="H770" i="1"/>
  <c r="H771" i="1" a="1"/>
  <c r="H771" i="1" s="1"/>
  <c r="H772" i="1" a="1"/>
  <c r="H772" i="1" s="1"/>
  <c r="H773" i="1" a="1"/>
  <c r="H773" i="1" s="1"/>
  <c r="H774" i="1" a="1"/>
  <c r="H774" i="1" s="1"/>
  <c r="H775" i="1" a="1"/>
  <c r="H775" i="1" s="1"/>
  <c r="H776" i="1" a="1"/>
  <c r="H776" i="1" s="1"/>
  <c r="H777" i="1" a="1"/>
  <c r="H777" i="1" s="1"/>
  <c r="H778" i="1" a="1"/>
  <c r="H778" i="1"/>
  <c r="H779" i="1" a="1"/>
  <c r="H779" i="1" s="1"/>
  <c r="H780" i="1" a="1"/>
  <c r="H780" i="1" s="1"/>
  <c r="H781" i="1" a="1"/>
  <c r="H781" i="1" s="1"/>
  <c r="H782" i="1" a="1"/>
  <c r="H782" i="1" s="1"/>
  <c r="H783" i="1" a="1"/>
  <c r="H783" i="1" s="1"/>
  <c r="H784" i="1" a="1"/>
  <c r="H784" i="1" s="1"/>
  <c r="H785" i="1" a="1"/>
  <c r="H785" i="1" s="1"/>
  <c r="H786" i="1" a="1"/>
  <c r="H786" i="1"/>
  <c r="H787" i="1" a="1"/>
  <c r="H787" i="1" s="1"/>
  <c r="H788" i="1" a="1"/>
  <c r="H788" i="1" s="1"/>
  <c r="H789" i="1" a="1"/>
  <c r="H789" i="1" s="1"/>
  <c r="H790" i="1" a="1"/>
  <c r="H790" i="1" s="1"/>
  <c r="H791" i="1" a="1"/>
  <c r="H791" i="1" s="1"/>
  <c r="H792" i="1" a="1"/>
  <c r="H792" i="1" s="1"/>
  <c r="H793" i="1" a="1"/>
  <c r="H793" i="1" s="1"/>
  <c r="H794" i="1" a="1"/>
  <c r="H794" i="1"/>
  <c r="H795" i="1" a="1"/>
  <c r="H795" i="1" s="1"/>
  <c r="H796" i="1" a="1"/>
  <c r="H796" i="1" s="1"/>
  <c r="H797" i="1" a="1"/>
  <c r="H797" i="1" s="1"/>
  <c r="H798" i="1" a="1"/>
  <c r="H798" i="1" s="1"/>
  <c r="H799" i="1" a="1"/>
  <c r="H799" i="1" s="1"/>
  <c r="H800" i="1" a="1"/>
  <c r="H800" i="1" s="1"/>
  <c r="H801" i="1" a="1"/>
  <c r="H801" i="1" s="1"/>
  <c r="H802" i="1" a="1"/>
  <c r="H802" i="1"/>
  <c r="H803" i="1" a="1"/>
  <c r="H803" i="1" s="1"/>
  <c r="H804" i="1" a="1"/>
  <c r="H804" i="1" s="1"/>
  <c r="H805" i="1" a="1"/>
  <c r="H805" i="1" s="1"/>
  <c r="H806" i="1" a="1"/>
  <c r="H806" i="1" s="1"/>
  <c r="H807" i="1" a="1"/>
  <c r="H807" i="1" s="1"/>
  <c r="H808" i="1" a="1"/>
  <c r="H808" i="1" s="1"/>
  <c r="H809" i="1" a="1"/>
  <c r="H809" i="1" s="1"/>
  <c r="H810" i="1" a="1"/>
  <c r="H810" i="1"/>
  <c r="H811" i="1" a="1"/>
  <c r="H811" i="1" s="1"/>
  <c r="H812" i="1" a="1"/>
  <c r="H812" i="1" s="1"/>
  <c r="H813" i="1" a="1"/>
  <c r="H813" i="1" s="1"/>
  <c r="H814" i="1" a="1"/>
  <c r="H814" i="1" s="1"/>
  <c r="H815" i="1" a="1"/>
  <c r="H815" i="1" s="1"/>
  <c r="H816" i="1" a="1"/>
  <c r="H816" i="1" s="1"/>
  <c r="H817" i="1" a="1"/>
  <c r="H817" i="1" s="1"/>
  <c r="H818" i="1" a="1"/>
  <c r="H818" i="1"/>
  <c r="H819" i="1" a="1"/>
  <c r="H819" i="1" s="1"/>
  <c r="H820" i="1" a="1"/>
  <c r="H820" i="1" s="1"/>
  <c r="H821" i="1" a="1"/>
  <c r="H821" i="1" s="1"/>
  <c r="H822" i="1" a="1"/>
  <c r="H822" i="1" s="1"/>
  <c r="H823" i="1" a="1"/>
  <c r="H823" i="1" s="1"/>
  <c r="H824" i="1" a="1"/>
  <c r="H824" i="1" s="1"/>
  <c r="H825" i="1" a="1"/>
  <c r="H825" i="1" s="1"/>
  <c r="H826" i="1" a="1"/>
  <c r="H826" i="1"/>
  <c r="H827" i="1" a="1"/>
  <c r="H827" i="1" s="1"/>
  <c r="H828" i="1" a="1"/>
  <c r="H828" i="1" s="1"/>
  <c r="H829" i="1" a="1"/>
  <c r="H829" i="1" s="1"/>
  <c r="H830" i="1" a="1"/>
  <c r="H830" i="1" s="1"/>
  <c r="H831" i="1" a="1"/>
  <c r="H831" i="1" s="1"/>
  <c r="H832" i="1" a="1"/>
  <c r="H832" i="1" s="1"/>
  <c r="H833" i="1" a="1"/>
  <c r="H833" i="1" s="1"/>
  <c r="H834" i="1" a="1"/>
  <c r="H834" i="1"/>
  <c r="H835" i="1" a="1"/>
  <c r="H835" i="1" s="1"/>
  <c r="H836" i="1" a="1"/>
  <c r="H836" i="1" s="1"/>
  <c r="H837" i="1" a="1"/>
  <c r="H837" i="1" s="1"/>
  <c r="H838" i="1" a="1"/>
  <c r="H838" i="1" s="1"/>
  <c r="H839" i="1" a="1"/>
  <c r="H839" i="1" s="1"/>
  <c r="H840" i="1" a="1"/>
  <c r="H840" i="1" s="1"/>
  <c r="H841" i="1" a="1"/>
  <c r="H841" i="1" s="1"/>
  <c r="H842" i="1" a="1"/>
  <c r="H842" i="1"/>
  <c r="H843" i="1" a="1"/>
  <c r="H843" i="1" s="1"/>
  <c r="H844" i="1" a="1"/>
  <c r="H844" i="1" s="1"/>
  <c r="H845" i="1" a="1"/>
  <c r="H845" i="1" s="1"/>
  <c r="H846" i="1" a="1"/>
  <c r="H846" i="1" s="1"/>
  <c r="H847" i="1" a="1"/>
  <c r="H847" i="1" s="1"/>
  <c r="H848" i="1" a="1"/>
  <c r="H848" i="1" s="1"/>
  <c r="H849" i="1" a="1"/>
  <c r="H849" i="1" s="1"/>
  <c r="H850" i="1" a="1"/>
  <c r="H850" i="1"/>
  <c r="H851" i="1" a="1"/>
  <c r="H851" i="1" s="1"/>
  <c r="H852" i="1" a="1"/>
  <c r="H852" i="1" s="1"/>
  <c r="H853" i="1" a="1"/>
  <c r="H853" i="1" s="1"/>
  <c r="H854" i="1" a="1"/>
  <c r="H854" i="1" s="1"/>
  <c r="H855" i="1" a="1"/>
  <c r="H855" i="1" s="1"/>
  <c r="H856" i="1" a="1"/>
  <c r="H856" i="1" s="1"/>
  <c r="H857" i="1" a="1"/>
  <c r="H857" i="1" s="1"/>
  <c r="H858" i="1" a="1"/>
  <c r="H858" i="1"/>
  <c r="H859" i="1" a="1"/>
  <c r="H859" i="1" s="1"/>
  <c r="H860" i="1" a="1"/>
  <c r="H860" i="1" s="1"/>
  <c r="H861" i="1" a="1"/>
  <c r="H861" i="1" s="1"/>
  <c r="H862" i="1" a="1"/>
  <c r="H862" i="1" s="1"/>
  <c r="H863" i="1" a="1"/>
  <c r="H863" i="1" s="1"/>
  <c r="H864" i="1" a="1"/>
  <c r="H864" i="1" s="1"/>
  <c r="H865" i="1" a="1"/>
  <c r="H865" i="1" s="1"/>
  <c r="H866" i="1" a="1"/>
  <c r="H866" i="1"/>
  <c r="H867" i="1" a="1"/>
  <c r="H867" i="1" s="1"/>
  <c r="H868" i="1" a="1"/>
  <c r="H868" i="1" s="1"/>
  <c r="H869" i="1" a="1"/>
  <c r="H869" i="1" s="1"/>
  <c r="H870" i="1" a="1"/>
  <c r="H870" i="1" s="1"/>
  <c r="H871" i="1" a="1"/>
  <c r="H871" i="1" s="1"/>
  <c r="H872" i="1" a="1"/>
  <c r="H872" i="1" s="1"/>
  <c r="H873" i="1" a="1"/>
  <c r="H873" i="1" s="1"/>
  <c r="H874" i="1" a="1"/>
  <c r="H874" i="1"/>
  <c r="H875" i="1" a="1"/>
  <c r="H875" i="1" s="1"/>
  <c r="H876" i="1" a="1"/>
  <c r="H876" i="1" s="1"/>
  <c r="H877" i="1" a="1"/>
  <c r="H877" i="1" s="1"/>
  <c r="H878" i="1" a="1"/>
  <c r="H878" i="1" s="1"/>
  <c r="H879" i="1" a="1"/>
  <c r="H879" i="1" s="1"/>
  <c r="H880" i="1" a="1"/>
  <c r="H880" i="1" s="1"/>
  <c r="H881" i="1" a="1"/>
  <c r="H881" i="1" s="1"/>
  <c r="H882" i="1" a="1"/>
  <c r="H882" i="1"/>
  <c r="H883" i="1" a="1"/>
  <c r="H883" i="1" s="1"/>
  <c r="H884" i="1" a="1"/>
  <c r="H884" i="1" s="1"/>
  <c r="H885" i="1" a="1"/>
  <c r="H885" i="1" s="1"/>
  <c r="H886" i="1" a="1"/>
  <c r="H886" i="1" s="1"/>
  <c r="H887" i="1" a="1"/>
  <c r="H887" i="1" s="1"/>
  <c r="H888" i="1" a="1"/>
  <c r="H888" i="1" s="1"/>
  <c r="H889" i="1" a="1"/>
  <c r="H889" i="1" s="1"/>
  <c r="H890" i="1" a="1"/>
  <c r="H890" i="1"/>
  <c r="H891" i="1" a="1"/>
  <c r="H891" i="1" s="1"/>
  <c r="H892" i="1" a="1"/>
  <c r="H892" i="1" s="1"/>
  <c r="H893" i="1" a="1"/>
  <c r="H893" i="1" s="1"/>
  <c r="H894" i="1" a="1"/>
  <c r="H894" i="1" s="1"/>
  <c r="H895" i="1" a="1"/>
  <c r="H895" i="1" s="1"/>
  <c r="H896" i="1" a="1"/>
  <c r="H896" i="1" s="1"/>
  <c r="H897" i="1" a="1"/>
  <c r="H897" i="1" s="1"/>
  <c r="H898" i="1" a="1"/>
  <c r="H898" i="1"/>
  <c r="H899" i="1" a="1"/>
  <c r="H899" i="1" s="1"/>
  <c r="H900" i="1" a="1"/>
  <c r="H900" i="1" s="1"/>
  <c r="H901" i="1" a="1"/>
  <c r="H901" i="1" s="1"/>
  <c r="H902" i="1" a="1"/>
  <c r="H902" i="1" s="1"/>
  <c r="H903" i="1" a="1"/>
  <c r="H903" i="1" s="1"/>
  <c r="H904" i="1" a="1"/>
  <c r="H904" i="1" s="1"/>
  <c r="H905" i="1" a="1"/>
  <c r="H905" i="1" s="1"/>
  <c r="H906" i="1" a="1"/>
  <c r="H906" i="1"/>
  <c r="H907" i="1" a="1"/>
  <c r="H907" i="1" s="1"/>
  <c r="H908" i="1" a="1"/>
  <c r="H908" i="1" s="1"/>
  <c r="H909" i="1" a="1"/>
  <c r="H909" i="1" s="1"/>
  <c r="H910" i="1" a="1"/>
  <c r="H910" i="1" s="1"/>
  <c r="H911" i="1" a="1"/>
  <c r="H911" i="1" s="1"/>
  <c r="H912" i="1" a="1"/>
  <c r="H912" i="1" s="1"/>
  <c r="H913" i="1" a="1"/>
  <c r="H913" i="1" s="1"/>
  <c r="H914" i="1" a="1"/>
  <c r="H914" i="1"/>
  <c r="H915" i="1" a="1"/>
  <c r="H915" i="1" s="1"/>
  <c r="H916" i="1" a="1"/>
  <c r="H916" i="1" s="1"/>
  <c r="H917" i="1" a="1"/>
  <c r="H917" i="1" s="1"/>
  <c r="H918" i="1" a="1"/>
  <c r="H918" i="1" s="1"/>
  <c r="H919" i="1" a="1"/>
  <c r="H919" i="1" s="1"/>
  <c r="H920" i="1" a="1"/>
  <c r="H920" i="1" s="1"/>
  <c r="H921" i="1" a="1"/>
  <c r="H921" i="1" s="1"/>
  <c r="H922" i="1" a="1"/>
  <c r="H922" i="1"/>
  <c r="H923" i="1" a="1"/>
  <c r="H923" i="1" s="1"/>
  <c r="H924" i="1" a="1"/>
  <c r="H924" i="1" s="1"/>
  <c r="H925" i="1" a="1"/>
  <c r="H925" i="1" s="1"/>
  <c r="H926" i="1" a="1"/>
  <c r="H926" i="1" s="1"/>
  <c r="H927" i="1" a="1"/>
  <c r="H927" i="1" s="1"/>
  <c r="H928" i="1" a="1"/>
  <c r="H928" i="1" s="1"/>
  <c r="H929" i="1" a="1"/>
  <c r="H929" i="1" s="1"/>
  <c r="H930" i="1" a="1"/>
  <c r="H930" i="1"/>
  <c r="H931" i="1" a="1"/>
  <c r="H931" i="1" s="1"/>
  <c r="H932" i="1" a="1"/>
  <c r="H932" i="1" s="1"/>
  <c r="H933" i="1" a="1"/>
  <c r="H933" i="1" s="1"/>
  <c r="H934" i="1" a="1"/>
  <c r="H934" i="1" s="1"/>
  <c r="H935" i="1" a="1"/>
  <c r="H935" i="1" s="1"/>
  <c r="H936" i="1" a="1"/>
  <c r="H936" i="1" s="1"/>
  <c r="H937" i="1" a="1"/>
  <c r="H937" i="1" s="1"/>
  <c r="H938" i="1" a="1"/>
  <c r="H938" i="1"/>
  <c r="H939" i="1" a="1"/>
  <c r="H939" i="1" s="1"/>
  <c r="H940" i="1" a="1"/>
  <c r="H940" i="1" s="1"/>
  <c r="H941" i="1" a="1"/>
  <c r="H941" i="1" s="1"/>
  <c r="H942" i="1" a="1"/>
  <c r="H942" i="1" s="1"/>
  <c r="H943" i="1" a="1"/>
  <c r="H943" i="1" s="1"/>
  <c r="H944" i="1" a="1"/>
  <c r="H944" i="1" s="1"/>
  <c r="H945" i="1" a="1"/>
  <c r="H945" i="1" s="1"/>
  <c r="H946" i="1" a="1"/>
  <c r="H946" i="1"/>
  <c r="H947" i="1" a="1"/>
  <c r="H947" i="1" s="1"/>
  <c r="H948" i="1" a="1"/>
  <c r="H948" i="1" s="1"/>
  <c r="H949" i="1" a="1"/>
  <c r="H949" i="1" s="1"/>
  <c r="H950" i="1" a="1"/>
  <c r="H950" i="1" s="1"/>
  <c r="H951" i="1" a="1"/>
  <c r="H951" i="1" s="1"/>
  <c r="H952" i="1" a="1"/>
  <c r="H952" i="1" s="1"/>
  <c r="H953" i="1" a="1"/>
  <c r="H953" i="1" s="1"/>
  <c r="H954" i="1" a="1"/>
  <c r="H954" i="1"/>
  <c r="H955" i="1" a="1"/>
  <c r="H955" i="1" s="1"/>
  <c r="H956" i="1" a="1"/>
  <c r="H956" i="1" s="1"/>
  <c r="H957" i="1" a="1"/>
  <c r="H957" i="1" s="1"/>
  <c r="H958" i="1" a="1"/>
  <c r="H958" i="1" s="1"/>
  <c r="H959" i="1" a="1"/>
  <c r="H959" i="1" s="1"/>
  <c r="H960" i="1" a="1"/>
  <c r="H960" i="1" s="1"/>
  <c r="H961" i="1" a="1"/>
  <c r="H961" i="1" s="1"/>
  <c r="H962" i="1" a="1"/>
  <c r="H962" i="1"/>
  <c r="H963" i="1" a="1"/>
  <c r="H963" i="1" s="1"/>
  <c r="H964" i="1" a="1"/>
  <c r="H964" i="1" s="1"/>
  <c r="H965" i="1" a="1"/>
  <c r="H965" i="1" s="1"/>
  <c r="H966" i="1" a="1"/>
  <c r="H966" i="1" s="1"/>
  <c r="H967" i="1" a="1"/>
  <c r="H967" i="1" s="1"/>
  <c r="H968" i="1" a="1"/>
  <c r="H968" i="1" s="1"/>
  <c r="H969" i="1" a="1"/>
  <c r="H969" i="1" s="1"/>
  <c r="H970" i="1" a="1"/>
  <c r="H970" i="1"/>
  <c r="H971" i="1" a="1"/>
  <c r="H971" i="1" s="1"/>
  <c r="H972" i="1" a="1"/>
  <c r="H972" i="1" s="1"/>
  <c r="H973" i="1" a="1"/>
  <c r="H973" i="1" s="1"/>
  <c r="H974" i="1" a="1"/>
  <c r="H974" i="1" s="1"/>
  <c r="H975" i="1" a="1"/>
  <c r="H975" i="1" s="1"/>
  <c r="H976" i="1" a="1"/>
  <c r="H976" i="1" s="1"/>
  <c r="H977" i="1" a="1"/>
  <c r="H977" i="1" s="1"/>
  <c r="H978" i="1" a="1"/>
  <c r="H978" i="1"/>
  <c r="H979" i="1" a="1"/>
  <c r="H979" i="1" s="1"/>
  <c r="H980" i="1" a="1"/>
  <c r="H980" i="1" s="1"/>
  <c r="H981" i="1" a="1"/>
  <c r="H981" i="1" s="1"/>
  <c r="H982" i="1" a="1"/>
  <c r="H982" i="1" s="1"/>
  <c r="H983" i="1" a="1"/>
  <c r="H983" i="1" s="1"/>
  <c r="H984" i="1" a="1"/>
  <c r="H984" i="1" s="1"/>
  <c r="H985" i="1" a="1"/>
  <c r="H985" i="1" s="1"/>
  <c r="H986" i="1" a="1"/>
  <c r="H986" i="1"/>
  <c r="H987" i="1" a="1"/>
  <c r="H987" i="1" s="1"/>
  <c r="H988" i="1" a="1"/>
  <c r="H988" i="1" s="1"/>
  <c r="H989" i="1" a="1"/>
  <c r="H989" i="1" s="1"/>
  <c r="H990" i="1" a="1"/>
  <c r="H990" i="1" s="1"/>
  <c r="H991" i="1" a="1"/>
  <c r="H991" i="1" s="1"/>
  <c r="H992" i="1" a="1"/>
  <c r="H992" i="1" s="1"/>
  <c r="H993" i="1" a="1"/>
  <c r="H993" i="1" s="1"/>
  <c r="H994" i="1" a="1"/>
  <c r="H994" i="1"/>
  <c r="H995" i="1" a="1"/>
  <c r="H995" i="1" s="1"/>
  <c r="H996" i="1" a="1"/>
  <c r="H996" i="1" s="1"/>
  <c r="H997" i="1" a="1"/>
  <c r="H997" i="1" s="1"/>
  <c r="H998" i="1" a="1"/>
  <c r="H998" i="1" s="1"/>
  <c r="H999" i="1" a="1"/>
  <c r="H999" i="1" s="1"/>
  <c r="H1000" i="1" a="1"/>
  <c r="H1000" i="1" s="1"/>
  <c r="H1001" i="1" a="1"/>
  <c r="H1001" i="1" s="1"/>
  <c r="H1002" i="1" a="1"/>
  <c r="H1002" i="1"/>
  <c r="H1003" i="1" a="1"/>
  <c r="H1003" i="1" s="1"/>
  <c r="H1004" i="1" a="1"/>
  <c r="H1004" i="1" s="1"/>
  <c r="H1005" i="1" a="1"/>
  <c r="H1005" i="1" s="1"/>
  <c r="H1006" i="1" a="1"/>
  <c r="H1006" i="1" s="1"/>
  <c r="H1007" i="1" a="1"/>
  <c r="H1007" i="1" s="1"/>
  <c r="H1008" i="1" a="1"/>
  <c r="H1008" i="1" s="1"/>
  <c r="H1009" i="1" a="1"/>
  <c r="H1009" i="1" s="1"/>
  <c r="H1010" i="1" a="1"/>
  <c r="H1010" i="1"/>
  <c r="H1011" i="1" a="1"/>
  <c r="H1011" i="1" s="1"/>
  <c r="H1012" i="1" a="1"/>
  <c r="H1012" i="1" s="1"/>
  <c r="H1013" i="1" a="1"/>
  <c r="H1013" i="1" s="1"/>
  <c r="H1014" i="1" a="1"/>
  <c r="H1014" i="1" s="1"/>
  <c r="H1015" i="1" a="1"/>
  <c r="H1015" i="1" s="1"/>
  <c r="H1016" i="1" a="1"/>
  <c r="H1016" i="1" s="1"/>
  <c r="H1017" i="1" a="1"/>
  <c r="H1017" i="1" s="1"/>
  <c r="H1018" i="1" a="1"/>
  <c r="H1018" i="1"/>
  <c r="H1019" i="1" a="1"/>
  <c r="H1019" i="1" s="1"/>
  <c r="H1020" i="1" a="1"/>
  <c r="H1020" i="1" s="1"/>
  <c r="H1021" i="1" a="1"/>
  <c r="H1021" i="1" s="1"/>
  <c r="H1022" i="1" a="1"/>
  <c r="H1022" i="1" s="1"/>
  <c r="H1023" i="1" a="1"/>
  <c r="H1023" i="1" s="1"/>
  <c r="H1024" i="1" a="1"/>
  <c r="H1024" i="1" s="1"/>
  <c r="H1025" i="1" a="1"/>
  <c r="H1025" i="1" s="1"/>
  <c r="H1026" i="1" a="1"/>
  <c r="H1026" i="1"/>
  <c r="H1027" i="1" a="1"/>
  <c r="H1027" i="1" s="1"/>
  <c r="H1028" i="1" a="1"/>
  <c r="H1028" i="1" s="1"/>
  <c r="H1029" i="1" a="1"/>
  <c r="H1029" i="1" s="1"/>
  <c r="H1030" i="1" a="1"/>
  <c r="H1030" i="1" s="1"/>
  <c r="H1031" i="1" a="1"/>
  <c r="H1031" i="1" s="1"/>
  <c r="H1032" i="1" a="1"/>
  <c r="H1032" i="1" s="1"/>
  <c r="H1033" i="1" a="1"/>
  <c r="H1033" i="1" s="1"/>
  <c r="H1034" i="1" a="1"/>
  <c r="H1034" i="1"/>
  <c r="H1035" i="1" a="1"/>
  <c r="H1035" i="1" s="1"/>
  <c r="H1036" i="1" a="1"/>
  <c r="H1036" i="1" s="1"/>
  <c r="H1037" i="1" a="1"/>
  <c r="H1037" i="1" s="1"/>
  <c r="H1038" i="1" a="1"/>
  <c r="H1038" i="1" s="1"/>
  <c r="H1039" i="1" a="1"/>
  <c r="H1039" i="1" s="1"/>
  <c r="H1040" i="1" a="1"/>
  <c r="H1040" i="1" s="1"/>
  <c r="H1041" i="1" a="1"/>
  <c r="H1041" i="1" s="1"/>
  <c r="H1042" i="1" a="1"/>
  <c r="H1042" i="1"/>
  <c r="H1043" i="1" a="1"/>
  <c r="H1043" i="1" s="1"/>
  <c r="H1044" i="1" a="1"/>
  <c r="H1044" i="1" s="1"/>
  <c r="H1045" i="1" a="1"/>
  <c r="H1045" i="1" s="1"/>
  <c r="H1046" i="1" a="1"/>
  <c r="H1046" i="1" s="1"/>
  <c r="H1047" i="1" a="1"/>
  <c r="H1047" i="1" s="1"/>
  <c r="H1048" i="1" a="1"/>
  <c r="H1048" i="1" s="1"/>
  <c r="H1049" i="1" a="1"/>
  <c r="H1049" i="1" s="1"/>
  <c r="H1050" i="1" a="1"/>
  <c r="H1050" i="1"/>
  <c r="H1051" i="1" a="1"/>
  <c r="H1051" i="1" s="1"/>
  <c r="H1052" i="1" a="1"/>
  <c r="H1052" i="1" s="1"/>
  <c r="H1053" i="1" a="1"/>
  <c r="H1053" i="1" s="1"/>
  <c r="H1054" i="1" a="1"/>
  <c r="H1054" i="1" s="1"/>
  <c r="H1055" i="1" a="1"/>
  <c r="H1055" i="1" s="1"/>
  <c r="H1056" i="1" a="1"/>
  <c r="H1056" i="1" s="1"/>
  <c r="H1057" i="1" a="1"/>
  <c r="H1057" i="1" s="1"/>
  <c r="H1058" i="1" a="1"/>
  <c r="H1058" i="1"/>
  <c r="H1059" i="1" a="1"/>
  <c r="H1059" i="1" s="1"/>
  <c r="H1060" i="1" a="1"/>
  <c r="H1060" i="1" s="1"/>
  <c r="H1061" i="1" a="1"/>
  <c r="H1061" i="1" s="1"/>
  <c r="H1062" i="1" a="1"/>
  <c r="H1062" i="1" s="1"/>
  <c r="H1063" i="1" a="1"/>
  <c r="H1063" i="1" s="1"/>
  <c r="H1064" i="1" a="1"/>
  <c r="H1064" i="1" s="1"/>
  <c r="H1065" i="1" a="1"/>
  <c r="H1065" i="1" s="1"/>
  <c r="H1066" i="1" a="1"/>
  <c r="H1066" i="1"/>
  <c r="H1067" i="1" a="1"/>
  <c r="H1067" i="1" s="1"/>
  <c r="H1068" i="1" a="1"/>
  <c r="H1068" i="1" s="1"/>
  <c r="H1069" i="1" a="1"/>
  <c r="H1069" i="1" s="1"/>
  <c r="H1070" i="1" a="1"/>
  <c r="H1070" i="1" s="1"/>
  <c r="H1071" i="1" a="1"/>
  <c r="H1071" i="1" s="1"/>
  <c r="H1072" i="1" a="1"/>
  <c r="H1072" i="1" s="1"/>
  <c r="H1073" i="1" a="1"/>
  <c r="H1073" i="1" s="1"/>
  <c r="H1074" i="1" a="1"/>
  <c r="H1074" i="1"/>
  <c r="H1075" i="1" a="1"/>
  <c r="H1075" i="1" s="1"/>
  <c r="H1076" i="1" a="1"/>
  <c r="H1076" i="1" s="1"/>
  <c r="H1077" i="1" a="1"/>
  <c r="H1077" i="1" s="1"/>
  <c r="H1078" i="1" a="1"/>
  <c r="H1078" i="1" s="1"/>
  <c r="H1079" i="1" a="1"/>
  <c r="H1079" i="1" s="1"/>
  <c r="H1080" i="1" a="1"/>
  <c r="H1080" i="1" s="1"/>
  <c r="H1081" i="1" a="1"/>
  <c r="H1081" i="1" s="1"/>
  <c r="H1082" i="1" a="1"/>
  <c r="H1082" i="1"/>
  <c r="H1083" i="1" a="1"/>
  <c r="H1083" i="1" s="1"/>
  <c r="H1084" i="1" a="1"/>
  <c r="H1084" i="1" s="1"/>
  <c r="H1085" i="1" a="1"/>
  <c r="H1085" i="1" s="1"/>
  <c r="H1086" i="1" a="1"/>
  <c r="H1086" i="1" s="1"/>
  <c r="H1087" i="1" a="1"/>
  <c r="H1087" i="1" s="1"/>
  <c r="H1088" i="1" a="1"/>
  <c r="H1088" i="1" s="1"/>
  <c r="H1089" i="1" a="1"/>
  <c r="H1089" i="1" s="1"/>
  <c r="H1090" i="1" a="1"/>
  <c r="H1090" i="1"/>
  <c r="H1091" i="1" a="1"/>
  <c r="H1091" i="1" s="1"/>
  <c r="H1092" i="1" a="1"/>
  <c r="H1092" i="1" s="1"/>
  <c r="H1093" i="1" a="1"/>
  <c r="H1093" i="1" s="1"/>
  <c r="H1094" i="1" a="1"/>
  <c r="H1094" i="1" s="1"/>
  <c r="H1095" i="1" a="1"/>
  <c r="H1095" i="1" s="1"/>
  <c r="H1096" i="1" a="1"/>
  <c r="H1096" i="1" s="1"/>
  <c r="H1097" i="1" a="1"/>
  <c r="H1097" i="1" s="1"/>
  <c r="H1098" i="1" a="1"/>
  <c r="H1098" i="1"/>
  <c r="H1099" i="1" a="1"/>
  <c r="H1099" i="1" s="1"/>
  <c r="H1100" i="1" a="1"/>
  <c r="H1100" i="1" s="1"/>
  <c r="H1101" i="1" a="1"/>
  <c r="H1101" i="1" s="1"/>
  <c r="H1102" i="1" a="1"/>
  <c r="H1102" i="1" s="1"/>
  <c r="H1103" i="1" a="1"/>
  <c r="H1103" i="1" s="1"/>
  <c r="H1104" i="1" a="1"/>
  <c r="H1104" i="1" s="1"/>
  <c r="H1105" i="1" a="1"/>
  <c r="H1105" i="1" s="1"/>
  <c r="H1106" i="1" a="1"/>
  <c r="H1106" i="1"/>
  <c r="H1107" i="1" a="1"/>
  <c r="H1107" i="1" s="1"/>
  <c r="H1108" i="1" a="1"/>
  <c r="H1108" i="1" s="1"/>
  <c r="H1109" i="1" a="1"/>
  <c r="H1109" i="1" s="1"/>
  <c r="H1110" i="1" a="1"/>
  <c r="H1110" i="1" s="1"/>
  <c r="H1111" i="1" a="1"/>
  <c r="H1111" i="1" s="1"/>
  <c r="H1112" i="1" a="1"/>
  <c r="H1112" i="1" s="1"/>
  <c r="H1113" i="1" a="1"/>
  <c r="H1113" i="1" s="1"/>
  <c r="H1114" i="1" a="1"/>
  <c r="H1114" i="1"/>
  <c r="H1115" i="1" a="1"/>
  <c r="H1115" i="1" s="1"/>
  <c r="H1116" i="1" a="1"/>
  <c r="H1116" i="1" s="1"/>
  <c r="H1117" i="1" a="1"/>
  <c r="H1117" i="1" s="1"/>
  <c r="H1118" i="1" a="1"/>
  <c r="H1118" i="1" s="1"/>
  <c r="H1119" i="1" a="1"/>
  <c r="H1119" i="1" s="1"/>
  <c r="H1120" i="1" a="1"/>
  <c r="H1120" i="1" s="1"/>
  <c r="H1121" i="1" a="1"/>
  <c r="H1121" i="1" s="1"/>
  <c r="H1122" i="1" a="1"/>
  <c r="H1122" i="1"/>
  <c r="H1123" i="1" a="1"/>
  <c r="H1123" i="1" s="1"/>
  <c r="H1124" i="1" a="1"/>
  <c r="H1124" i="1" s="1"/>
  <c r="H1125" i="1" a="1"/>
  <c r="H1125" i="1" s="1"/>
  <c r="H1126" i="1" a="1"/>
  <c r="H1126" i="1" s="1"/>
  <c r="H1127" i="1" a="1"/>
  <c r="H1127" i="1" s="1"/>
  <c r="H1128" i="1" a="1"/>
  <c r="H1128" i="1" s="1"/>
  <c r="H1129" i="1" a="1"/>
  <c r="H1129" i="1" s="1"/>
  <c r="H1130" i="1" a="1"/>
  <c r="H1130" i="1"/>
  <c r="H1131" i="1" a="1"/>
  <c r="H1131" i="1" s="1"/>
  <c r="H1132" i="1" a="1"/>
  <c r="H1132" i="1" s="1"/>
  <c r="H1133" i="1" a="1"/>
  <c r="H1133" i="1" s="1"/>
  <c r="H1134" i="1" a="1"/>
  <c r="H1134" i="1" s="1"/>
  <c r="H1135" i="1" a="1"/>
  <c r="H1135" i="1" s="1"/>
  <c r="H1136" i="1" a="1"/>
  <c r="H1136" i="1" s="1"/>
  <c r="H1137" i="1" a="1"/>
  <c r="H1137" i="1" s="1"/>
  <c r="H1138" i="1" a="1"/>
  <c r="H1138" i="1"/>
  <c r="H1139" i="1" a="1"/>
  <c r="H1139" i="1" s="1"/>
  <c r="H1140" i="1" a="1"/>
  <c r="H1140" i="1" s="1"/>
  <c r="H1141" i="1" a="1"/>
  <c r="H1141" i="1" s="1"/>
  <c r="H1142" i="1" a="1"/>
  <c r="H1142" i="1" s="1"/>
  <c r="H1143" i="1" a="1"/>
  <c r="H1143" i="1" s="1"/>
  <c r="H1144" i="1" a="1"/>
  <c r="H1144" i="1" s="1"/>
  <c r="H1145" i="1" a="1"/>
  <c r="H1145" i="1" s="1"/>
  <c r="H1146" i="1" a="1"/>
  <c r="H1146" i="1"/>
  <c r="H1147" i="1" a="1"/>
  <c r="H1147" i="1" s="1"/>
  <c r="H1148" i="1" a="1"/>
  <c r="H1148" i="1" s="1"/>
  <c r="H1149" i="1" a="1"/>
  <c r="H1149" i="1" s="1"/>
  <c r="H1150" i="1" a="1"/>
  <c r="H1150" i="1" s="1"/>
  <c r="H1151" i="1" a="1"/>
  <c r="H1151" i="1" s="1"/>
  <c r="H1152" i="1" a="1"/>
  <c r="H1152" i="1" s="1"/>
  <c r="H1153" i="1" a="1"/>
  <c r="H1153" i="1" s="1"/>
  <c r="H1154" i="1" a="1"/>
  <c r="H1154" i="1"/>
  <c r="H1155" i="1" a="1"/>
  <c r="H1155" i="1" s="1"/>
  <c r="H1156" i="1" a="1"/>
  <c r="H1156" i="1" s="1"/>
  <c r="H1157" i="1" a="1"/>
  <c r="H1157" i="1" s="1"/>
  <c r="H1158" i="1" a="1"/>
  <c r="H1158" i="1" s="1"/>
  <c r="H1159" i="1" a="1"/>
  <c r="H1159" i="1" s="1"/>
  <c r="H1160" i="1" a="1"/>
  <c r="H1160" i="1" s="1"/>
  <c r="H1161" i="1" a="1"/>
  <c r="H1161" i="1" s="1"/>
  <c r="H1162" i="1" a="1"/>
  <c r="H1162" i="1"/>
  <c r="H1163" i="1" a="1"/>
  <c r="H1163" i="1" s="1"/>
  <c r="H1164" i="1" a="1"/>
  <c r="H1164" i="1" s="1"/>
  <c r="H1165" i="1" a="1"/>
  <c r="H1165" i="1" s="1"/>
  <c r="H1166" i="1" a="1"/>
  <c r="H1166" i="1" s="1"/>
  <c r="H1167" i="1" a="1"/>
  <c r="H1167" i="1" s="1"/>
  <c r="H1168" i="1" a="1"/>
  <c r="H1168" i="1" s="1"/>
  <c r="H1169" i="1" a="1"/>
  <c r="H1169" i="1" s="1"/>
  <c r="H1170" i="1" a="1"/>
  <c r="H1170" i="1"/>
  <c r="H1171" i="1" a="1"/>
  <c r="H1171" i="1" s="1"/>
  <c r="H1172" i="1" a="1"/>
  <c r="H1172" i="1" s="1"/>
  <c r="H1173" i="1" a="1"/>
  <c r="H1173" i="1" s="1"/>
  <c r="H1174" i="1" a="1"/>
  <c r="H1174" i="1" s="1"/>
  <c r="H1175" i="1" a="1"/>
  <c r="H1175" i="1" s="1"/>
  <c r="H1176" i="1" a="1"/>
  <c r="H1176" i="1" s="1"/>
  <c r="H1177" i="1" a="1"/>
  <c r="H1177" i="1" s="1"/>
  <c r="H1178" i="1" a="1"/>
  <c r="H1178" i="1"/>
  <c r="H1179" i="1" a="1"/>
  <c r="H1179" i="1" s="1"/>
  <c r="H1180" i="1" a="1"/>
  <c r="H1180" i="1" s="1"/>
  <c r="H1181" i="1" a="1"/>
  <c r="H1181" i="1" s="1"/>
  <c r="H1182" i="1" a="1"/>
  <c r="H1182" i="1" s="1"/>
  <c r="H1183" i="1" a="1"/>
  <c r="H1183" i="1" s="1"/>
  <c r="H1184" i="1" a="1"/>
  <c r="H1184" i="1" s="1"/>
  <c r="H1185" i="1" a="1"/>
  <c r="H1185" i="1" s="1"/>
  <c r="H1186" i="1" a="1"/>
  <c r="H1186" i="1"/>
  <c r="H1187" i="1" a="1"/>
  <c r="H1187" i="1" s="1"/>
  <c r="H1188" i="1" a="1"/>
  <c r="H1188" i="1" s="1"/>
  <c r="H1189" i="1" a="1"/>
  <c r="H1189" i="1" s="1"/>
  <c r="H1190" i="1" a="1"/>
  <c r="H1190" i="1" s="1"/>
  <c r="H1191" i="1" a="1"/>
  <c r="H1191" i="1" s="1"/>
  <c r="H1192" i="1" a="1"/>
  <c r="H1192" i="1" s="1"/>
  <c r="H1193" i="1" a="1"/>
  <c r="H1193" i="1" s="1"/>
  <c r="H1194" i="1" a="1"/>
  <c r="H1194" i="1"/>
  <c r="H1195" i="1" a="1"/>
  <c r="H1195" i="1" s="1"/>
  <c r="H1196" i="1" a="1"/>
  <c r="H1196" i="1" s="1"/>
  <c r="H1197" i="1" a="1"/>
  <c r="H1197" i="1" s="1"/>
  <c r="H1198" i="1" a="1"/>
  <c r="H1198" i="1" s="1"/>
  <c r="H1199" i="1" a="1"/>
  <c r="H1199" i="1" s="1"/>
  <c r="H1200" i="1" a="1"/>
  <c r="H1200" i="1" s="1"/>
  <c r="H1201" i="1" a="1"/>
  <c r="H1201" i="1" s="1"/>
  <c r="H1202" i="1" a="1"/>
  <c r="H1202" i="1"/>
  <c r="H1203" i="1" a="1"/>
  <c r="H1203" i="1" s="1"/>
  <c r="H1204" i="1" a="1"/>
  <c r="H1204" i="1" s="1"/>
  <c r="H1205" i="1" a="1"/>
  <c r="H1205" i="1" s="1"/>
  <c r="H1206" i="1" a="1"/>
  <c r="H1206" i="1" s="1"/>
  <c r="H1207" i="1" a="1"/>
  <c r="H1207" i="1" s="1"/>
  <c r="H1208" i="1" a="1"/>
  <c r="H1208" i="1" s="1"/>
  <c r="H1209" i="1" a="1"/>
  <c r="H1209" i="1" s="1"/>
  <c r="H1210" i="1" a="1"/>
  <c r="H1210" i="1"/>
  <c r="H1211" i="1" a="1"/>
  <c r="H1211" i="1" s="1"/>
  <c r="H1212" i="1" a="1"/>
  <c r="H1212" i="1" s="1"/>
  <c r="H1213" i="1" a="1"/>
  <c r="H1213" i="1" s="1"/>
  <c r="H1214" i="1" a="1"/>
  <c r="H1214" i="1" s="1"/>
  <c r="H1215" i="1" a="1"/>
  <c r="H1215" i="1" s="1"/>
  <c r="H1216" i="1" a="1"/>
  <c r="H1216" i="1" s="1"/>
  <c r="H1217" i="1" a="1"/>
  <c r="H1217" i="1" s="1"/>
  <c r="H1218" i="1" a="1"/>
  <c r="H1218" i="1"/>
  <c r="H1219" i="1" a="1"/>
  <c r="H1219" i="1" s="1"/>
  <c r="H1220" i="1" a="1"/>
  <c r="H1220" i="1" s="1"/>
  <c r="H1221" i="1" a="1"/>
  <c r="H1221" i="1" s="1"/>
  <c r="H1222" i="1" a="1"/>
  <c r="H1222" i="1" s="1"/>
  <c r="H1223" i="1" a="1"/>
  <c r="H1223" i="1" s="1"/>
  <c r="H1224" i="1" a="1"/>
  <c r="H1224" i="1" s="1"/>
  <c r="H1225" i="1" a="1"/>
  <c r="H1225" i="1" s="1"/>
  <c r="H1226" i="1" a="1"/>
  <c r="H1226" i="1"/>
  <c r="H1227" i="1" a="1"/>
  <c r="H1227" i="1" s="1"/>
  <c r="H1228" i="1" a="1"/>
  <c r="H1228" i="1" s="1"/>
  <c r="H1229" i="1" a="1"/>
  <c r="H1229" i="1" s="1"/>
  <c r="H1230" i="1" a="1"/>
  <c r="H1230" i="1" s="1"/>
  <c r="H1231" i="1" a="1"/>
  <c r="H1231" i="1" s="1"/>
  <c r="H1232" i="1" a="1"/>
  <c r="H1232" i="1" s="1"/>
  <c r="H1233" i="1" a="1"/>
  <c r="H1233" i="1" s="1"/>
  <c r="H1234" i="1" a="1"/>
  <c r="H1234" i="1"/>
  <c r="H1235" i="1" a="1"/>
  <c r="H1235" i="1" s="1"/>
  <c r="H1236" i="1" a="1"/>
  <c r="H1236" i="1" s="1"/>
  <c r="H1237" i="1" a="1"/>
  <c r="H1237" i="1" s="1"/>
  <c r="H1238" i="1" a="1"/>
  <c r="H1238" i="1" s="1"/>
  <c r="H1239" i="1" a="1"/>
  <c r="H1239" i="1" s="1"/>
  <c r="H1240" i="1" a="1"/>
  <c r="H1240" i="1" s="1"/>
  <c r="H1241" i="1" a="1"/>
  <c r="H1241" i="1" s="1"/>
  <c r="H1242" i="1" a="1"/>
  <c r="H1242" i="1"/>
  <c r="H1243" i="1" a="1"/>
  <c r="H1243" i="1" s="1"/>
  <c r="H1244" i="1" a="1"/>
  <c r="H1244" i="1" s="1"/>
  <c r="H1245" i="1" a="1"/>
  <c r="H1245" i="1" s="1"/>
  <c r="H1246" i="1" a="1"/>
  <c r="H1246" i="1" s="1"/>
  <c r="H1247" i="1" a="1"/>
  <c r="H1247" i="1" s="1"/>
  <c r="H1248" i="1" a="1"/>
  <c r="H1248" i="1" s="1"/>
  <c r="H1249" i="1" a="1"/>
  <c r="H1249" i="1" s="1"/>
  <c r="H1250" i="1" a="1"/>
  <c r="H1250" i="1"/>
  <c r="H1251" i="1" a="1"/>
  <c r="H1251" i="1" s="1"/>
  <c r="H1252" i="1" a="1"/>
  <c r="H1252" i="1" s="1"/>
  <c r="H1253" i="1" a="1"/>
  <c r="H1253" i="1" s="1"/>
  <c r="H1254" i="1" a="1"/>
  <c r="H1254" i="1" s="1"/>
  <c r="H1255" i="1" a="1"/>
  <c r="H1255" i="1" s="1"/>
  <c r="H1256" i="1" a="1"/>
  <c r="H1256" i="1" s="1"/>
  <c r="H1257" i="1" a="1"/>
  <c r="H1257" i="1" s="1"/>
  <c r="H1258" i="1" a="1"/>
  <c r="H1258" i="1"/>
  <c r="H1259" i="1" a="1"/>
  <c r="H1259" i="1" s="1"/>
  <c r="H1260" i="1" a="1"/>
  <c r="H1260" i="1" s="1"/>
  <c r="H1261" i="1" a="1"/>
  <c r="H1261" i="1" s="1"/>
  <c r="H1262" i="1" a="1"/>
  <c r="H1262" i="1" s="1"/>
  <c r="H1263" i="1" a="1"/>
  <c r="H1263" i="1" s="1"/>
  <c r="H1264" i="1" a="1"/>
  <c r="H1264" i="1" s="1"/>
  <c r="H1265" i="1" a="1"/>
  <c r="H1265" i="1" s="1"/>
  <c r="H1266" i="1" a="1"/>
  <c r="H1266" i="1"/>
  <c r="H1267" i="1" a="1"/>
  <c r="H1267" i="1" s="1"/>
  <c r="H1268" i="1" a="1"/>
  <c r="H1268" i="1" s="1"/>
  <c r="H1269" i="1" a="1"/>
  <c r="H1269" i="1" s="1"/>
  <c r="H1270" i="1" a="1"/>
  <c r="H1270" i="1" s="1"/>
  <c r="H1271" i="1" a="1"/>
  <c r="H1271" i="1" s="1"/>
  <c r="H1272" i="1" a="1"/>
  <c r="H1272" i="1"/>
  <c r="H1273" i="1" a="1"/>
  <c r="H1273" i="1" s="1"/>
  <c r="H1274" i="1" a="1"/>
  <c r="H1274" i="1" s="1"/>
  <c r="H1275" i="1" a="1"/>
  <c r="H1275" i="1" s="1"/>
  <c r="H1276" i="1" a="1"/>
  <c r="H1276" i="1" s="1"/>
  <c r="H1277" i="1" a="1"/>
  <c r="H1277" i="1" s="1"/>
  <c r="H1278" i="1" a="1"/>
  <c r="H1278" i="1" s="1"/>
  <c r="H1279" i="1" a="1"/>
  <c r="H1279" i="1" s="1"/>
  <c r="H1280" i="1" a="1"/>
  <c r="H1280" i="1"/>
  <c r="H1281" i="1" a="1"/>
  <c r="H1281" i="1" s="1"/>
  <c r="H1282" i="1" a="1"/>
  <c r="H1282" i="1"/>
  <c r="H1283" i="1" a="1"/>
  <c r="H1283" i="1" s="1"/>
  <c r="H1284" i="1" a="1"/>
  <c r="H1284" i="1" s="1"/>
  <c r="H1285" i="1" a="1"/>
  <c r="H1285" i="1" s="1"/>
  <c r="H1286" i="1" a="1"/>
  <c r="H1286" i="1" s="1"/>
  <c r="H1287" i="1" a="1"/>
  <c r="H1287" i="1" s="1"/>
  <c r="H1288" i="1" a="1"/>
  <c r="H1288" i="1"/>
  <c r="H1289" i="1" a="1"/>
  <c r="H1289" i="1" s="1"/>
  <c r="H1290" i="1" a="1"/>
  <c r="H1290" i="1" s="1"/>
  <c r="H1291" i="1" a="1"/>
  <c r="H1291" i="1" s="1"/>
  <c r="H1292" i="1" a="1"/>
  <c r="H1292" i="1" s="1"/>
  <c r="H1293" i="1" a="1"/>
  <c r="H1293" i="1" s="1"/>
  <c r="H1294" i="1" a="1"/>
  <c r="H1294" i="1" s="1"/>
  <c r="H1295" i="1" a="1"/>
  <c r="H1295" i="1" s="1"/>
  <c r="H1296" i="1" a="1"/>
  <c r="H1296" i="1"/>
  <c r="H1297" i="1" a="1"/>
  <c r="H1297" i="1" s="1"/>
  <c r="H1298" i="1" a="1"/>
  <c r="H1298" i="1"/>
  <c r="H1299" i="1" a="1"/>
  <c r="H1299" i="1" s="1"/>
  <c r="H1300" i="1" a="1"/>
  <c r="H1300" i="1" s="1"/>
  <c r="H1301" i="1" a="1"/>
  <c r="H1301" i="1" s="1"/>
  <c r="H1302" i="1" a="1"/>
  <c r="H1302" i="1" s="1"/>
  <c r="H1303" i="1" a="1"/>
  <c r="H1303" i="1" s="1"/>
  <c r="H1304" i="1" a="1"/>
  <c r="H1304" i="1"/>
  <c r="H1305" i="1" a="1"/>
  <c r="H1305" i="1" s="1"/>
  <c r="H1306" i="1" a="1"/>
  <c r="H1306" i="1" s="1"/>
  <c r="H1307" i="1" a="1"/>
  <c r="H1307" i="1" s="1"/>
  <c r="H1308" i="1" a="1"/>
  <c r="H1308" i="1"/>
  <c r="H1309" i="1" a="1"/>
  <c r="H1309" i="1" s="1"/>
  <c r="H1310" i="1" a="1"/>
  <c r="H1310" i="1"/>
  <c r="H1311" i="1" a="1"/>
  <c r="H1311" i="1" s="1"/>
  <c r="H1312" i="1" a="1"/>
  <c r="H1312" i="1"/>
  <c r="H1313" i="1" a="1"/>
  <c r="H1313" i="1" s="1"/>
  <c r="H1314" i="1" a="1"/>
  <c r="H1314" i="1" s="1"/>
  <c r="H1315" i="1" a="1"/>
  <c r="H1315" i="1" s="1"/>
  <c r="H1316" i="1" a="1"/>
  <c r="H1316" i="1"/>
  <c r="H1317" i="1" a="1"/>
  <c r="H1317" i="1" s="1"/>
  <c r="H1318" i="1" a="1"/>
  <c r="H1318" i="1"/>
  <c r="H1319" i="1" a="1"/>
  <c r="H1319" i="1" s="1"/>
  <c r="H1320" i="1" a="1"/>
  <c r="H1320" i="1"/>
  <c r="H1321" i="1" a="1"/>
  <c r="H1321" i="1" s="1"/>
  <c r="H1322" i="1" a="1"/>
  <c r="H1322" i="1" s="1"/>
  <c r="H1323" i="1" a="1"/>
  <c r="H1323" i="1" s="1"/>
  <c r="H1324" i="1" a="1"/>
  <c r="H1324" i="1"/>
  <c r="H1325" i="1" a="1"/>
  <c r="H1325" i="1" s="1"/>
  <c r="H1326" i="1" a="1"/>
  <c r="H1326" i="1"/>
  <c r="H1327" i="1" a="1"/>
  <c r="H1327" i="1" s="1"/>
  <c r="H1328" i="1" a="1"/>
  <c r="H1328" i="1"/>
  <c r="H1329" i="1" a="1"/>
  <c r="H1329" i="1" s="1"/>
  <c r="H1330" i="1" a="1"/>
  <c r="H1330" i="1" s="1"/>
  <c r="H1331" i="1" a="1"/>
  <c r="H1331" i="1" s="1"/>
  <c r="H1332" i="1" a="1"/>
  <c r="H1332" i="1"/>
  <c r="H1333" i="1" a="1"/>
  <c r="H1333" i="1" s="1"/>
  <c r="H1334" i="1" a="1"/>
  <c r="H1334" i="1"/>
  <c r="H1335" i="1" a="1"/>
  <c r="H1335" i="1" s="1"/>
  <c r="H1336" i="1" a="1"/>
  <c r="H1336" i="1"/>
  <c r="H1337" i="1" a="1"/>
  <c r="H1337" i="1" s="1"/>
  <c r="H1338" i="1" a="1"/>
  <c r="H1338" i="1" s="1"/>
  <c r="H1339" i="1" a="1"/>
  <c r="H133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<sst xmlns="http://schemas.openxmlformats.org/spreadsheetml/2006/main" count="4050" uniqueCount="27">
  <si>
    <t>Age</t>
  </si>
  <si>
    <t>Gender</t>
  </si>
  <si>
    <t>Bmi</t>
  </si>
  <si>
    <t>Children</t>
  </si>
  <si>
    <t>Smoker</t>
  </si>
  <si>
    <t>Region</t>
  </si>
  <si>
    <t>Expenses</t>
  </si>
  <si>
    <t>Female</t>
  </si>
  <si>
    <t>Male</t>
  </si>
  <si>
    <t>Yes</t>
  </si>
  <si>
    <t>No</t>
  </si>
  <si>
    <t>Southwest</t>
  </si>
  <si>
    <t>Southeast</t>
  </si>
  <si>
    <t>Northwest</t>
  </si>
  <si>
    <t>Northeast</t>
  </si>
  <si>
    <t>Age Group</t>
  </si>
  <si>
    <t>Row Labels</t>
  </si>
  <si>
    <t>Grand Total</t>
  </si>
  <si>
    <t>Sum of Expenses</t>
  </si>
  <si>
    <t>Elderly</t>
  </si>
  <si>
    <t>Senior Adult</t>
  </si>
  <si>
    <t>Teenager</t>
  </si>
  <si>
    <t>Young Adult</t>
  </si>
  <si>
    <t>Total Expenses</t>
  </si>
  <si>
    <t>Average Expense</t>
  </si>
  <si>
    <t>Total Customers</t>
  </si>
  <si>
    <t>Number Of Smokers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</si>
</sst>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409]* #,##0.00_);_([$$-409]* \(#,##0.00\);_([$$-409]* &quot;-&quot;??_);_(@_)"/>
    <numFmt numFmtId="166" formatCode="&quot;$&quot;0.00,,&quot;M&quot;"/>
    <numFmt numFmtId="167" formatCode="&quot;$&quot;0.00,&quot;K&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1"/>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6"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 fontId="0" fillId="0" borderId="0" xfId="0" applyNumberFormat="1"/>
    <xf numFmtId="164" fontId="0" fillId="0" borderId="0" xfId="0" applyNumberFormat="1"/>
    <xf numFmtId="165" fontId="0" fillId="0" borderId="0" xfId="0" applyNumberFormat="1"/>
    <xf numFmtId="0" fontId="18" fillId="0" borderId="0" xfId="0" applyFont="1"/>
    <xf numFmtId="0" fontId="0" fillId="0" borderId="0" xfId="0" pivotButton="1"/>
    <xf numFmtId="0" fontId="0" fillId="0" borderId="0" xfId="0" applyAlignment="1">
      <alignment horizontal="left"/>
    </xf>
    <xf numFmtId="0" fontId="16" fillId="0" borderId="0" xfId="0" applyFont="1"/>
    <xf numFmtId="3" fontId="0" fillId="0" borderId="0" xfId="0" applyNumberFormat="1"/>
    <xf numFmtId="166" fontId="0" fillId="33" borderId="0" xfId="0" applyNumberFormat="1" applyFill="1"/>
    <xf numFmtId="167" fontId="0" fillId="0" borderId="0" xfId="0" applyNumberFormat="1"/>
    <xf numFmtId="0" fontId="19" fillId="34" borderId="0" xfId="0" applyFont="1"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165" formatCode="_([$$-409]* #,##0.00_);_([$$-409]* \(#,##0.00\);_([$$-409]* &quot;-&quot;??_);_(@_)"/>
    </dxf>
    <dxf>
      <numFmt numFmtId="1" formatCode="0"/>
    </dxf>
    <dxf>
      <numFmt numFmtId="164" formatCode="0.0"/>
    </dxf>
    <dxf>
      <numFmt numFmtId="1" formatCode="0"/>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[insurance_dataset.xlsx]Expenditure by Gender!PivotTable1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Expenditure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spPr>
          <a:solidFill>
            <a:srgbClr val="00206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a:outerShdw blurRad="57150" dist="19050" dir="5400000" algn="ctr" rotWithShape="0">
              <a:srgbClr val="000000">
                <a:alpha val="63000"/>
              </a:srgbClr>
            </a:outerShdw>
          </a:effectLst>
        </c:spPr>
      </c:pivotFmt>
      <c:pivotFmt>
        <c:idx val="13"/>
        <c:spPr>
          <a:solidFill>
            <a:srgbClr val="00206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'Expenditure by Gender'!$B$3</c:f>
              <c:strCache>
                <c:ptCount val="1"/>
                <c:pt idx="0">
                  <c:v>Total</c:v>
                </c:pt>
              </c:strCache>
            </c:strRef>
          </c:tx>
          <c:spPr>
            <a:solidFill>
              <a:srgbClr val="002060"/>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D14E-438B-9BD6-73A849FDD8F6}"/>
              </c:ext>
            </c:extLst>
          </c:dPt>
          <c:dPt>
            <c:idx val="1"/>
            <c:invertIfNegative val="0"/>
            <c:bubble3D val="0"/>
            <c:extLst>
              <c:ext xmlns:c16="http://schemas.microsoft.com/office/drawing/2014/chart" uri="{C3380CC4-5D6E-409C-BE32-E72D297353CC}">
                <c16:uniqueId val="{00000003-D14E-438B-9BD6-73A849FDD8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'Expenditure by Gender'!$A$4:$A$6</c:f>
              <c:strCache>
                <c:ptCount val="2"/>
                <c:pt idx="0">
                  <c:v>Female</c:v>
                </c:pt>
                <c:pt idx="1">
                  <c:v>Male</c:v>
                </c:pt>
              </c:strCache>
            </c:strRef>
          </c:cat>
          <c:val>
            <c:numRef>
              <c:f>'Expenditure by Gender'!$B$4:$B$6</c:f>
              <c:numCache>
                <c:formatCode>_([$$-409]* #,##0.00_);_([$$-409]* \(#,##0.00\);_([$$-409]* "-"??_);_(@_)</c:formatCode>
                <c:ptCount val="2"/>
                <c:pt idx="0">
                  <c:v>8321061.2299999995</c:v>
                </c:pt>
                <c:pt idx="1">
                  <c:v>9434763.9600000065</c:v>
                </c:pt>
              </c:numCache>
            </c:numRef>
          </c:val>
          <c:extLst>
            <c:ext xmlns:c16="http://schemas.microsoft.com/office/drawing/2014/chart" uri="{C3380CC4-5D6E-409C-BE32-E72D297353CC}">
              <c16:uniqueId val="{00000004-D14E-438B-9BD6-73A849FDD8F6}"/>
            </c:ext>
          </c:extLst>
        </c:ser>
        <c:dLbls>
          <c:dLblPos val="outEnd"/>
          <c:showLegendKey val="0"/>
          <c:showVal val="1"/>
          <c:showCatName val="0"/>
          <c:showSerName val="0"/>
          <c:showPercent val="0"/>
          <c:showBubbleSize val="0"/>
        </c:dLbls>
        <c:gapWidth val="100"/>
        <c:overlap val="-24"/>
        <c:axId val="584050800"/>
        <c:axId val="584051856"/>
      </c:barChart>
      <c:catAx>
        <c:axId val="5840508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solidFill>
                <a:latin typeface="Times New Roman" panose="02020603050405020304" pitchFamily="18" charset="0"/>
                <a:ea typeface="+mn-ea"/>
                <a:cs typeface="+mn-cs"/>
              </a:defRPr>
            </a:pPr>
            <a:endParaRPr lang="en-US"/>
          </a:p>
        </c:txPr>
        <c:crossAx val="584051856"/>
        <c:crosses val="autoZero"/>
        <c:auto val="1"/>
        <c:lblAlgn val="ctr"/>
        <c:lblOffset val="100"/>
        <c:noMultiLvlLbl val="0"/>
      </c:catAx>
      <c:valAx>
        <c:axId val="58405185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05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[insurance_dataset.xlsx]Expenditure by Age Group!PivotTable2</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Expenditure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4">
              <a:lumMod val="50000"/>
            </a:schemeClr>
          </a:solidFill>
          <a:ln>
            <a:noFill/>
          </a:ln>
          <a:effectLst/>
        </c:spPr>
      </c:pivotFmt>
      <c:pivotFmt>
        <c:idx val="3"/>
        <c:spPr>
          <a:solidFill>
            <a:schemeClr val="accent3">
              <a:lumMod val="50000"/>
            </a:schemeClr>
          </a:solidFill>
          <a:ln>
            <a:noFill/>
          </a:ln>
          <a:effectLst/>
        </c:spPr>
      </c:pivotFmt>
      <c:pivotFmt>
        <c:idx val="4"/>
        <c:spPr>
          <a:solidFill>
            <a:srgbClr val="FFC000"/>
          </a:solidFill>
          <a:ln>
            <a:noFill/>
          </a:ln>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pivotFmt>
      <c:pivotFmt>
        <c:idx val="7"/>
        <c:spPr>
          <a:solidFill>
            <a:schemeClr val="accent3">
              <a:lumMod val="50000"/>
            </a:schemeClr>
          </a:solidFill>
          <a:ln>
            <a:noFill/>
          </a:ln>
          <a:effectLst/>
        </c:spPr>
      </c:pivotFmt>
      <c:pivotFmt>
        <c:idx val="8"/>
        <c:spPr>
          <a:solidFill>
            <a:schemeClr val="accent4">
              <a:lumMod val="50000"/>
            </a:schemeClr>
          </a:solidFill>
          <a:ln>
            <a:noFill/>
          </a:ln>
          <a:effectLst/>
        </c:spPr>
      </c:pivotFmt>
      <c:pivotFmt>
        <c:idx val="9"/>
        <c:spPr>
          <a:solidFill>
            <a:schemeClr val="accent6">
              <a:lumMod val="75000"/>
            </a:schemeClr>
          </a:solidFill>
          <a:ln>
            <a:noFill/>
          </a:ln>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pivotFmt>
      <c:pivotFmt>
        <c:idx val="12"/>
        <c:spPr>
          <a:solidFill>
            <a:schemeClr val="accent3">
              <a:lumMod val="50000"/>
            </a:schemeClr>
          </a:solidFill>
          <a:ln>
            <a:noFill/>
          </a:ln>
          <a:effectLst/>
        </c:spPr>
      </c:pivotFmt>
      <c:pivotFmt>
        <c:idx val="13"/>
        <c:spPr>
          <a:solidFill>
            <a:schemeClr val="accent4">
              <a:lumMod val="50000"/>
            </a:schemeClr>
          </a:solidFill>
          <a:ln>
            <a:noFill/>
          </a:ln>
          <a:effectLst/>
        </c:spPr>
      </c:pivotFmt>
      <c:pivotFmt>
        <c:idx val="14"/>
        <c:spPr>
          <a:solidFill>
            <a:schemeClr val="accent6">
              <a:lumMod val="75000"/>
            </a:schemeClr>
          </a:solidFill>
          <a:ln>
            <a:noFill/>
          </a:ln>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C000"/>
          </a:solidFill>
          <a:ln>
            <a:noFill/>
          </a:ln>
          <a:effectLst/>
        </c:spPr>
      </c:pivotFmt>
      <c:pivotFmt>
        <c:idx val="17"/>
        <c:spPr>
          <a:solidFill>
            <a:schemeClr val="accent3">
              <a:lumMod val="50000"/>
            </a:schemeClr>
          </a:solidFill>
          <a:ln>
            <a:noFill/>
          </a:ln>
          <a:effectLst/>
        </c:spPr>
      </c:pivotFmt>
      <c:pivotFmt>
        <c:idx val="18"/>
        <c:spPr>
          <a:solidFill>
            <a:schemeClr val="accent4">
              <a:lumMod val="50000"/>
            </a:schemeClr>
          </a:solidFill>
          <a:ln>
            <a:noFill/>
          </a:ln>
          <a:effectLst/>
        </c:spPr>
      </c:pivotFmt>
      <c:pivotFmt>
        <c:idx val="19"/>
        <c:spPr>
          <a:solidFill>
            <a:schemeClr val="accent6">
              <a:lumMod val="75000"/>
            </a:schemeClr>
          </a:solidFill>
          <a:ln>
            <a:noFill/>
          </a:ln>
          <a:effectLst/>
        </c:spPr>
      </c:pivotFmt>
      <c:pivotFmt>
        <c:idx val="2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2060"/>
          </a:solidFill>
          <a:ln>
            <a:noFill/>
          </a:ln>
          <a:effectLst/>
        </c:spPr>
      </c:pivotFmt>
      <c:pivotFmt>
        <c:idx val="22"/>
        <c:spPr>
          <a:solidFill>
            <a:srgbClr val="002060"/>
          </a:solidFill>
          <a:ln>
            <a:noFill/>
          </a:ln>
          <a:effectLst/>
        </c:spPr>
      </c:pivotFmt>
      <c:pivotFmt>
        <c:idx val="23"/>
        <c:spPr>
          <a:solidFill>
            <a:srgbClr val="002060"/>
          </a:solidFill>
          <a:ln>
            <a:noFill/>
          </a:ln>
          <a:effectLst/>
        </c:spPr>
      </c:pivotFmt>
      <c:pivotFmt>
        <c:idx val="24"/>
        <c:spPr>
          <a:solidFill>
            <a:srgbClr val="002060"/>
          </a:solidFill>
          <a:ln>
            <a:noFill/>
          </a:ln>
          <a:effectLst/>
        </c:spPr>
      </c:pivotFmt>
    </c:pivotFmts>
    <c:plotArea>
      <c:layout/>
      <c:barChart>
        <c:barDir val="col"/>
        <c:grouping val="clustered"/>
        <c:varyColors val="0"/>
        <c:ser>
          <c:idx val="0"/>
          <c:order val="0"/>
          <c:tx>
            <c:strRef>
              <c:f>'Expenditure by Age Group'!$B$3</c:f>
              <c:strCache>
                <c:ptCount val="1"/>
                <c:pt idx="0">
                  <c:v>Total</c:v>
                </c:pt>
              </c:strCache>
            </c:strRef>
          </c:tx>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1392-4C41-B005-63A9BAE0285A}"/>
              </c:ext>
            </c:extLst>
          </c:dPt>
          <c:dPt>
            <c:idx val="1"/>
            <c:invertIfNegative val="0"/>
            <c:bubble3D val="0"/>
            <c:spPr>
              <a:solidFill>
                <a:srgbClr val="002060"/>
              </a:solidFill>
              <a:ln>
                <a:noFill/>
              </a:ln>
              <a:effectLst/>
            </c:spPr>
            <c:extLst>
              <c:ext xmlns:c16="http://schemas.microsoft.com/office/drawing/2014/chart" uri="{C3380CC4-5D6E-409C-BE32-E72D297353CC}">
                <c16:uniqueId val="{00000003-1392-4C41-B005-63A9BAE0285A}"/>
              </c:ext>
            </c:extLst>
          </c:dPt>
          <c:dPt>
            <c:idx val="2"/>
            <c:invertIfNegative val="0"/>
            <c:bubble3D val="0"/>
            <c:spPr>
              <a:solidFill>
                <a:srgbClr val="002060"/>
              </a:solidFill>
              <a:ln>
                <a:noFill/>
              </a:ln>
              <a:effectLst/>
            </c:spPr>
            <c:extLst>
              <c:ext xmlns:c16="http://schemas.microsoft.com/office/drawing/2014/chart" uri="{C3380CC4-5D6E-409C-BE32-E72D297353CC}">
                <c16:uniqueId val="{00000005-1392-4C41-B005-63A9BAE0285A}"/>
              </c:ext>
            </c:extLst>
          </c:dPt>
          <c:dPt>
            <c:idx val="3"/>
            <c:invertIfNegative val="0"/>
            <c:bubble3D val="0"/>
            <c:spPr>
              <a:solidFill>
                <a:srgbClr val="002060"/>
              </a:solidFill>
              <a:ln>
                <a:noFill/>
              </a:ln>
              <a:effectLst/>
            </c:spPr>
            <c:extLst>
              <c:ext xmlns:c16="http://schemas.microsoft.com/office/drawing/2014/chart" uri="{C3380CC4-5D6E-409C-BE32-E72D297353CC}">
                <c16:uniqueId val="{00000007-1392-4C41-B005-63A9BAE028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'Expenditure by Age Group'!$A$4:$A$8</c:f>
              <c:strCache>
                <c:ptCount val="4"/>
                <c:pt idx="0">
                  <c:v>Elderly</c:v>
                </c:pt>
                <c:pt idx="1">
                  <c:v>Senior Adult</c:v>
                </c:pt>
                <c:pt idx="2">
                  <c:v>Teenager</c:v>
                </c:pt>
                <c:pt idx="3">
                  <c:v>Young Adult</c:v>
                </c:pt>
              </c:strCache>
            </c:strRef>
          </c:cat>
          <c:val>
            <c:numRef>
              <c:f>'Expenditure by Age Group'!$B$4:$B$8</c:f>
              <c:numCache>
                <c:formatCode>_([$$-409]* #,##0.00_);_([$$-409]* \(#,##0.00\);_([$$-409]* "-"??_);_(@_)</c:formatCode>
                <c:ptCount val="4"/>
                <c:pt idx="0">
                  <c:v>2422274.5100000012</c:v>
                </c:pt>
                <c:pt idx="1">
                  <c:v>8487585.9200000037</c:v>
                </c:pt>
                <c:pt idx="2">
                  <c:v>1151806.8999999997</c:v>
                </c:pt>
                <c:pt idx="3">
                  <c:v>5694157.8600000069</c:v>
                </c:pt>
              </c:numCache>
            </c:numRef>
          </c:val>
          <c:extLst>
            <c:ext xmlns:c16="http://schemas.microsoft.com/office/drawing/2014/chart" uri="{C3380CC4-5D6E-409C-BE32-E72D297353CC}">
              <c16:uniqueId val="{00000008-1392-4C41-B005-63A9BAE0285A}"/>
            </c:ext>
          </c:extLst>
        </c:ser>
        <c:dLbls>
          <c:dLblPos val="outEnd"/>
          <c:showLegendKey val="0"/>
          <c:showVal val="1"/>
          <c:showCatName val="0"/>
          <c:showSerName val="0"/>
          <c:showPercent val="0"/>
          <c:showBubbleSize val="0"/>
        </c:dLbls>
        <c:gapWidth val="100"/>
        <c:axId val="564333048"/>
        <c:axId val="564329528"/>
      </c:barChart>
      <c:catAx>
        <c:axId val="56433304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solidFill>
                <a:latin typeface="Times New Roman" panose="02020603050405020304" pitchFamily="18" charset="0"/>
                <a:ea typeface="+mn-ea"/>
                <a:cs typeface="+mn-cs"/>
              </a:defRPr>
            </a:pPr>
            <a:endParaRPr lang="en-US"/>
          </a:p>
        </c:txPr>
        <c:crossAx val="564329528"/>
        <c:crosses val="autoZero"/>
        <c:auto val="1"/>
        <c:lblAlgn val="ctr"/>
        <c:lblOffset val="100"/>
        <c:noMultiLvlLbl val="0"/>
      </c:catAx>
      <c:valAx>
        <c:axId val="564329528"/>
        <c:scaling>
          <c:orientation val="minMax"/>
        </c:scaling>
        <c:delete val="0"/>
        <c:axPos val="l"/>
        <c:majorGridlines>
          <c:spPr>
            <a:ln w="9525" cap="flat" cmpd="sng" algn="ctr">
              <a:solidFill>
                <a:schemeClr val="tx2">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4333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[insurance_dataset.xlsx]Expeniture by Region!PivotTable3</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Expenditure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solidFill>
            <a:schemeClr val="accent1"/>
          </a:solidFill>
          <a:ln>
            <a:noFill/>
          </a:ln>
          <a:effectLst>
            <a:outerShdw blurRad="317500" algn="ctr" rotWithShape="0">
              <a:prstClr val="black">
                <a:alpha val="25000"/>
              </a:prstClr>
            </a:outerShdw>
          </a:effectLst>
        </c:spPr>
        <c:marker>
          <c:symbol val="circle"/>
          <c:size val="6"/>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7"/>
        <c:spPr>
          <a:solidFill>
            <a:schemeClr val="accent1">
              <a:shade val="58000"/>
            </a:schemeClr>
          </a:solidFill>
          <a:ln>
            <a:noFill/>
          </a:ln>
          <a:effectLst>
            <a:outerShdw blurRad="317500" algn="ctr" rotWithShape="0">
              <a:prstClr val="black">
                <a:alpha val="25000"/>
              </a:prstClr>
            </a:outerShdw>
          </a:effectLst>
        </c:spPr>
      </c:pivotFmt>
      <c:pivotFmt>
        <c:idx val="18"/>
        <c:spPr>
          <a:solidFill>
            <a:schemeClr val="accent1">
              <a:shade val="86000"/>
            </a:schemeClr>
          </a:solidFill>
          <a:ln>
            <a:noFill/>
          </a:ln>
          <a:effectLst>
            <a:outerShdw blurRad="317500" algn="ctr" rotWithShape="0">
              <a:prstClr val="black">
                <a:alpha val="25000"/>
              </a:prstClr>
            </a:outerShdw>
          </a:effectLst>
        </c:spPr>
      </c:pivotFmt>
      <c:pivotFmt>
        <c:idx val="19"/>
        <c:spPr>
          <a:solidFill>
            <a:schemeClr val="accent1">
              <a:tint val="86000"/>
            </a:schemeClr>
          </a:solidFill>
          <a:ln>
            <a:noFill/>
          </a:ln>
          <a:effectLst>
            <a:outerShdw blurRad="317500" algn="ctr" rotWithShape="0">
              <a:prstClr val="black">
                <a:alpha val="25000"/>
              </a:prstClr>
            </a:outerShdw>
          </a:effectLst>
        </c:spPr>
      </c:pivotFmt>
      <c:pivotFmt>
        <c:idx val="20"/>
        <c:spPr>
          <a:solidFill>
            <a:schemeClr val="accent1">
              <a:tint val="58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6177751855092187"/>
          <c:y val="0.15497529932046167"/>
          <c:w val="0.70411887301272691"/>
          <c:h val="0.84301355481249773"/>
        </c:manualLayout>
      </c:layout>
      <c:pieChart>
        <c:varyColors val="1"/>
        <c:ser>
          <c:idx val="0"/>
          <c:order val="0"/>
          <c:tx>
            <c:strRef>
              <c:f>'Expeniture by Region'!$B$3</c:f>
              <c:strCache>
                <c:ptCount val="1"/>
                <c:pt idx="0">
                  <c:v>Total</c:v>
                </c:pt>
              </c:strCache>
            </c:strRef>
          </c:tx>
          <c:dPt>
            <c:idx val="0"/>
            <c:bubble3D val="0"/>
            <c:spPr>
              <a:solidFill>
                <a:schemeClr val="accent1">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F7A-40F7-A6EF-5907BF5EA37C}"/>
              </c:ext>
            </c:extLst>
          </c:dPt>
          <c:dPt>
            <c:idx val="1"/>
            <c:bubble3D val="0"/>
            <c:spPr>
              <a:solidFill>
                <a:schemeClr val="accent1">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F7A-40F7-A6EF-5907BF5EA37C}"/>
              </c:ext>
            </c:extLst>
          </c:dPt>
          <c:dPt>
            <c:idx val="2"/>
            <c:bubble3D val="0"/>
            <c:spPr>
              <a:solidFill>
                <a:schemeClr val="accent1">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F7A-40F7-A6EF-5907BF5EA37C}"/>
              </c:ext>
            </c:extLst>
          </c:dPt>
          <c:dPt>
            <c:idx val="3"/>
            <c:bubble3D val="0"/>
            <c:spPr>
              <a:solidFill>
                <a:schemeClr val="accent1">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F7A-40F7-A6EF-5907BF5EA37C}"/>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'Expeniture by Region'!$A$4:$A$8</c:f>
              <c:strCache>
                <c:ptCount val="4"/>
                <c:pt idx="0">
                  <c:v>Northeast</c:v>
                </c:pt>
                <c:pt idx="1">
                  <c:v>Northwest</c:v>
                </c:pt>
                <c:pt idx="2">
                  <c:v>Southeast</c:v>
                </c:pt>
                <c:pt idx="3">
                  <c:v>Southwest</c:v>
                </c:pt>
              </c:strCache>
            </c:strRef>
          </c:cat>
          <c:val>
            <c:numRef>
              <c:f>'Expeniture by Region'!$B$4:$B$8</c:f>
              <c:numCache>
                <c:formatCode>_([$$-409]* #,##0.00_);_([$$-409]* \(#,##0.00\);_([$$-409]* "-"??_);_(@_)</c:formatCode>
                <c:ptCount val="4"/>
                <c:pt idx="0">
                  <c:v>4343668.6400000015</c:v>
                </c:pt>
                <c:pt idx="1">
                  <c:v>4035711.93</c:v>
                </c:pt>
                <c:pt idx="2">
                  <c:v>5363689.8000000054</c:v>
                </c:pt>
                <c:pt idx="3">
                  <c:v>4012754.82</c:v>
                </c:pt>
              </c:numCache>
            </c:numRef>
          </c:val>
          <c:extLst>
            <c:ext xmlns:c16="http://schemas.microsoft.com/office/drawing/2014/chart" uri="{C3380CC4-5D6E-409C-BE32-E72D297353CC}">
              <c16:uniqueId val="{00000008-0F7A-40F7-A6EF-5907BF5EA37C}"/>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[insurance_dataset.xlsx]Expenditure by Smoking Status!PivotTable4</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Expenditure of Smokers and Non-Smokers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spPr>
          <a:solidFill>
            <a:srgbClr val="00206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'Expenditure by Smoking Status'!$B$3</c:f>
              <c:strCache>
                <c:ptCount val="1"/>
                <c:pt idx="0">
                  <c:v>Total</c:v>
                </c:pt>
              </c:strCache>
            </c:strRef>
          </c:tx>
          <c:spPr>
            <a:solidFill>
              <a:srgbClr val="002060"/>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6F79-4B80-A7DB-C2F2CC2D39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'Expenditure by Smoking Status'!$A$4:$A$6</c:f>
              <c:strCache>
                <c:ptCount val="2"/>
                <c:pt idx="0">
                  <c:v>No</c:v>
                </c:pt>
                <c:pt idx="1">
                  <c:v>Yes</c:v>
                </c:pt>
              </c:strCache>
            </c:strRef>
          </c:cat>
          <c:val>
            <c:numRef>
              <c:f>'Expenditure by Smoking Status'!$B$4:$B$6</c:f>
              <c:numCache>
                <c:formatCode>_([$$-409]* #,##0.00_);_([$$-409]* \(#,##0.00\);_([$$-409]* "-"??_);_(@_)</c:formatCode>
                <c:ptCount val="2"/>
                <c:pt idx="0">
                  <c:v>8974061.6300000027</c:v>
                </c:pt>
                <c:pt idx="1">
                  <c:v>8781763.5600000042</c:v>
                </c:pt>
              </c:numCache>
            </c:numRef>
          </c:val>
          <c:extLst>
            <c:ext xmlns:c16="http://schemas.microsoft.com/office/drawing/2014/chart" uri="{C3380CC4-5D6E-409C-BE32-E72D297353CC}">
              <c16:uniqueId val="{00000002-6F79-4B80-A7DB-C2F2CC2D3943}"/>
            </c:ext>
          </c:extLst>
        </c:ser>
        <c:dLbls>
          <c:dLblPos val="inEnd"/>
          <c:showLegendKey val="0"/>
          <c:showVal val="1"/>
          <c:showCatName val="0"/>
          <c:showSerName val="0"/>
          <c:showPercent val="0"/>
          <c:showBubbleSize val="0"/>
        </c:dLbls>
        <c:gapWidth val="115"/>
        <c:overlap val="-20"/>
        <c:axId val="618645272"/>
        <c:axId val="618648440"/>
      </c:barChart>
      <c:catAx>
        <c:axId val="6186452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648440"/>
        <c:crosses val="autoZero"/>
        <c:auto val="1"/>
        <c:lblAlgn val="ctr"/>
        <c:lblOffset val="100"/>
        <c:noMultiLvlLbl val="0"/>
      </c:catAx>
      <c:valAx>
        <c:axId val="618648440"/>
        <c:scaling>
          <c:orientation val="minMax"/>
        </c:scaling>
        <c:delete val="0"/>
        <c:axPos val="b"/>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50" b="1" i="0" u="none" strike="noStrike" kern="1200" baseline="0">
                <a:solidFill>
                  <a:schemeClr val="tx1"/>
                </a:solidFill>
                <a:latin typeface="Times New Roman" panose="02020603050405020304" pitchFamily="18" charset="0"/>
                <a:ea typeface="+mn-ea"/>
                <a:cs typeface="+mn-cs"/>
              </a:defRPr>
            </a:pPr>
            <a:endParaRPr lang="en-US"/>
          </a:p>
        </c:txPr>
        <c:crossAx val="618645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66675</xdr:colOff>
      <xdr:row>14</xdr:row>
      <xdr:rowOff>19050</xdr:rowOff>
    </xdr:from>
    <xdr:to>
      <xdr:col>8</xdr:col>
      <xdr:colOff>266700</xdr:colOff>
      <xdr:row>28</xdr:row>
      <xdr:rowOff>66675</xdr:rowOff>
    </xdr:to>
    <xdr:graphicFrame macro="">
      <xdr:nvGraphicFramePr>
        <xdr:cNvPr id="2" name="Chart 1">
          <a:extLst>
            <a:ext uri="{FF2B5EF4-FFF2-40B4-BE49-F238E27FC236}">
              <a16:creationId xmlns:a16="http://schemas.microsoft.com/office/drawing/2014/main" id="{500EA41E-6AAD-4F61-B543-F86FB44E2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342900</xdr:colOff>
      <xdr:row>29</xdr:row>
      <xdr:rowOff>0</xdr:rowOff>
    </xdr:from>
    <xdr:to>
      <xdr:col>20</xdr:col>
      <xdr:colOff>0</xdr:colOff>
      <xdr:row>43</xdr:row>
      <xdr:rowOff>0</xdr:rowOff>
    </xdr:to>
    <xdr:graphicFrame macro="">
      <xdr:nvGraphicFramePr>
        <xdr:cNvPr id="3" name="Chart 2">
          <a:extLst>
            <a:ext uri="{FF2B5EF4-FFF2-40B4-BE49-F238E27FC236}">
              <a16:creationId xmlns:a16="http://schemas.microsoft.com/office/drawing/2014/main" id="{7C60C087-BC61-40AE-AEB4-9343108DD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342899</xdr:colOff>
      <xdr:row>12</xdr:row>
      <xdr:rowOff>152400</xdr:rowOff>
    </xdr:from>
    <xdr:to>
      <xdr:col>28</xdr:col>
      <xdr:colOff>542924</xdr:colOff>
      <xdr:row>31</xdr:row>
      <xdr:rowOff>9525</xdr:rowOff>
    </xdr:to>
    <xdr:graphicFrame macro="">
      <xdr:nvGraphicFramePr>
        <xdr:cNvPr id="4" name="Chart 3">
          <a:extLst>
            <a:ext uri="{FF2B5EF4-FFF2-40B4-BE49-F238E27FC236}">
              <a16:creationId xmlns:a16="http://schemas.microsoft.com/office/drawing/2014/main" id="{B30148F8-267C-4FCB-B210-F57AA8219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95250</xdr:colOff>
      <xdr:row>13</xdr:row>
      <xdr:rowOff>133350</xdr:rowOff>
    </xdr:from>
    <xdr:to>
      <xdr:col>21</xdr:col>
      <xdr:colOff>95250</xdr:colOff>
      <xdr:row>28</xdr:row>
      <xdr:rowOff>0</xdr:rowOff>
    </xdr:to>
    <xdr:graphicFrame macro="">
      <xdr:nvGraphicFramePr>
        <xdr:cNvPr id="5" name="Chart 4">
          <a:extLst>
            <a:ext uri="{FF2B5EF4-FFF2-40B4-BE49-F238E27FC236}">
              <a16:creationId xmlns:a16="http://schemas.microsoft.com/office/drawing/2014/main" id="{41D78666-2707-457B-9A90-D1239EEC9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95249</xdr:colOff>
      <xdr:row>31</xdr:row>
      <xdr:rowOff>152400</xdr:rowOff>
    </xdr:from>
    <xdr:to>
      <xdr:col>28</xdr:col>
      <xdr:colOff>66674</xdr:colOff>
      <xdr:row>38</xdr:row>
      <xdr:rowOff>171450</xdr:rowOff>
    </xdr:to>
    <mc:AlternateContent xmlns:mc="http://schemas.openxmlformats.org/markup-compatibility/2006">
      <mc:Choice xmlns:a14="http://schemas.microsoft.com/office/drawing/2010/main" Requires="a14">
        <xdr:graphicFrame macro="">
          <xdr:nvGraphicFramePr>
            <xdr:cNvPr id="6" name="Age 1">
              <a:extLst>
                <a:ext uri="{FF2B5EF4-FFF2-40B4-BE49-F238E27FC236}">
                  <a16:creationId xmlns:a16="http://schemas.microsoft.com/office/drawing/2014/main" id="{A3062A11-36EC-4A49-8160-B062E72E19FE}"/>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15944849" y="6057900"/>
              <a:ext cx="1190625"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457200</xdr:colOff>
      <xdr:row>32</xdr:row>
      <xdr:rowOff>0</xdr:rowOff>
    </xdr:from>
    <xdr:to>
      <xdr:col>25</xdr:col>
      <xdr:colOff>457200</xdr:colOff>
      <xdr:row>38</xdr:row>
      <xdr:rowOff>180975</xdr:rowOff>
    </xdr:to>
    <mc:AlternateContent xmlns:mc="http://schemas.openxmlformats.org/markup-compatibility/2006">
      <mc:Choice xmlns:a14="http://schemas.microsoft.com/office/drawing/2010/main" Requires="a14">
        <xdr:graphicFrame macro="">
          <xdr:nvGraphicFramePr>
            <xdr:cNvPr id="7" name="Children 1">
              <a:extLst>
                <a:ext uri="{FF2B5EF4-FFF2-40B4-BE49-F238E27FC236}">
                  <a16:creationId xmlns:a16="http://schemas.microsoft.com/office/drawing/2014/main" id="{B7385A50-CF67-499E-891A-33D36FEE793C}"/>
                </a:ext>
              </a:extLst>
            </xdr:cNvPr>
            <xdr:cNvGraphicFramePr/>
          </xdr:nvGraphicFramePr>
          <xdr:xfrm>
            <a:off x="0" y="0"/>
            <a:ext cx="0" cy="0"/>
          </xdr:xfrm>
          <a:graphic>
            <a:graphicData uri="http://schemas.microsoft.com/office/drawing/2010/slicer">
              <sle:slicer xmlns:sle="http://schemas.microsoft.com/office/drawing/2010/slicer" name="Children 1"/>
            </a:graphicData>
          </a:graphic>
        </xdr:graphicFrame>
      </mc:Choice>
      <mc:Fallback>
        <xdr:sp macro="" textlink="">
          <xdr:nvSpPr>
            <xdr:cNvPr id="0" name=""/>
            <xdr:cNvSpPr>
              <a:spLocks noTextEdit="1"/>
            </xdr:cNvSpPr>
          </xdr:nvSpPr>
          <xdr:spPr>
            <a:xfrm>
              <a:off x="14478000" y="6096000"/>
              <a:ext cx="1219200" cy="1323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504825</xdr:colOff>
      <xdr:row>5</xdr:row>
      <xdr:rowOff>0</xdr:rowOff>
    </xdr:from>
    <xdr:to>
      <xdr:col>6</xdr:col>
      <xdr:colOff>495300</xdr:colOff>
      <xdr:row>13</xdr:row>
      <xdr:rowOff>0</xdr:rowOff>
    </xdr:to>
    <xdr:sp macro="" textlink="">
      <xdr:nvSpPr>
        <xdr:cNvPr id="8" name="Rectangle: Rounded Corners 7">
          <a:extLst>
            <a:ext uri="{FF2B5EF4-FFF2-40B4-BE49-F238E27FC236}">
              <a16:creationId xmlns:a16="http://schemas.microsoft.com/office/drawing/2014/main" id="{C9CA601A-FAF6-4AA3-8DBB-030BEF871114}"/>
            </a:ext>
          </a:extLst>
        </xdr:cNvPr>
        <xdr:cNvSpPr/>
      </xdr:nvSpPr>
      <xdr:spPr>
        <a:xfrm>
          <a:off x="504825" y="952500"/>
          <a:ext cx="3648075" cy="15240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390525</xdr:colOff>
      <xdr:row>7</xdr:row>
      <xdr:rowOff>123825</xdr:rowOff>
    </xdr:from>
    <xdr:to>
      <xdr:col>5</xdr:col>
      <xdr:colOff>552450</xdr:colOff>
      <xdr:row>12</xdr:row>
      <xdr:rowOff>85725</xdr:rowOff>
    </xdr:to>
    <xdr:sp macro="" textlink="KPI!B2">
      <xdr:nvSpPr>
        <xdr:cNvPr id="9" name="TextBox 8">
          <a:extLst>
            <a:ext uri="{FF2B5EF4-FFF2-40B4-BE49-F238E27FC236}">
              <a16:creationId xmlns:a16="http://schemas.microsoft.com/office/drawing/2014/main" id="{C498E496-32CF-4B55-8AEE-648E030E048A}"/>
            </a:ext>
          </a:extLst>
        </xdr:cNvPr>
        <xdr:cNvSpPr txBox="1"/>
      </xdr:nvSpPr>
      <xdr:spPr>
        <a:xfrm>
          <a:off x="1000125" y="1457325"/>
          <a:ext cx="2600325" cy="9144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D8F0CE99-18B7-4AAB-B43C-9081FBE69807}" type="TxLink">
            <a:rPr lang="en-US" sz="2800" b="1" i="0" u="none" strike="noStrike">
              <a:solidFill>
                <a:srgbClr val="000000"/>
              </a:solidFill>
              <a:latin typeface="Calibri"/>
              <a:cs typeface="Calibri"/>
            </a:rPr>
            <a:pPr algn="ctr"/>
            <a:t>$17.76M</a:t>
          </a:fld>
          <a:endParaRPr lang="en-US" sz="2800" b="1" i="0" u="none" strike="noStrike">
            <a:solidFill>
              <a:schemeClr val="tx1"/>
            </a:solidFill>
            <a:latin typeface="Calibri"/>
            <a:cs typeface="Calibri"/>
          </a:endParaRPr>
        </a:p>
      </xdr:txBody>
    </xdr:sp>
    <xdr:clientData/>
  </xdr:twoCellAnchor>
  <xdr:twoCellAnchor>
    <xdr:from>
      <xdr:col>14</xdr:col>
      <xdr:colOff>314325</xdr:colOff>
      <xdr:row>5</xdr:row>
      <xdr:rowOff>57150</xdr:rowOff>
    </xdr:from>
    <xdr:to>
      <xdr:col>21</xdr:col>
      <xdr:colOff>0</xdr:colOff>
      <xdr:row>12</xdr:row>
      <xdr:rowOff>180975</xdr:rowOff>
    </xdr:to>
    <xdr:sp macro="" textlink="">
      <xdr:nvSpPr>
        <xdr:cNvPr id="10" name="Rectangle: Rounded Corners 9">
          <a:extLst>
            <a:ext uri="{FF2B5EF4-FFF2-40B4-BE49-F238E27FC236}">
              <a16:creationId xmlns:a16="http://schemas.microsoft.com/office/drawing/2014/main" id="{3ADC99FC-B8DA-40A3-BD97-36C09B4D79A2}"/>
            </a:ext>
          </a:extLst>
        </xdr:cNvPr>
        <xdr:cNvSpPr/>
      </xdr:nvSpPr>
      <xdr:spPr>
        <a:xfrm>
          <a:off x="8848725" y="1009650"/>
          <a:ext cx="3952875" cy="14573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7</xdr:col>
      <xdr:colOff>209550</xdr:colOff>
      <xdr:row>5</xdr:row>
      <xdr:rowOff>0</xdr:rowOff>
    </xdr:from>
    <xdr:to>
      <xdr:col>14</xdr:col>
      <xdr:colOff>0</xdr:colOff>
      <xdr:row>13</xdr:row>
      <xdr:rowOff>0</xdr:rowOff>
    </xdr:to>
    <xdr:sp macro="" textlink="">
      <xdr:nvSpPr>
        <xdr:cNvPr id="11" name="Rectangle: Rounded Corners 10">
          <a:extLst>
            <a:ext uri="{FF2B5EF4-FFF2-40B4-BE49-F238E27FC236}">
              <a16:creationId xmlns:a16="http://schemas.microsoft.com/office/drawing/2014/main" id="{4CDC25E5-13BC-48A7-AF71-42D84D02B35C}"/>
            </a:ext>
          </a:extLst>
        </xdr:cNvPr>
        <xdr:cNvSpPr/>
      </xdr:nvSpPr>
      <xdr:spPr>
        <a:xfrm>
          <a:off x="4476750" y="952500"/>
          <a:ext cx="4057650" cy="15240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21</xdr:col>
      <xdr:colOff>171450</xdr:colOff>
      <xdr:row>5</xdr:row>
      <xdr:rowOff>57150</xdr:rowOff>
    </xdr:from>
    <xdr:to>
      <xdr:col>27</xdr:col>
      <xdr:colOff>171450</xdr:colOff>
      <xdr:row>12</xdr:row>
      <xdr:rowOff>152400</xdr:rowOff>
    </xdr:to>
    <xdr:sp macro="" textlink="">
      <xdr:nvSpPr>
        <xdr:cNvPr id="12" name="Rectangle: Rounded Corners 11">
          <a:extLst>
            <a:ext uri="{FF2B5EF4-FFF2-40B4-BE49-F238E27FC236}">
              <a16:creationId xmlns:a16="http://schemas.microsoft.com/office/drawing/2014/main" id="{B643198B-3CE1-4E2A-9C50-1D9EE71C2AB9}"/>
            </a:ext>
          </a:extLst>
        </xdr:cNvPr>
        <xdr:cNvSpPr/>
      </xdr:nvSpPr>
      <xdr:spPr>
        <a:xfrm>
          <a:off x="12973050" y="1009650"/>
          <a:ext cx="3657600" cy="142875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8</xdr:col>
      <xdr:colOff>571500</xdr:colOff>
      <xdr:row>8</xdr:row>
      <xdr:rowOff>0</xdr:rowOff>
    </xdr:from>
    <xdr:to>
      <xdr:col>12</xdr:col>
      <xdr:colOff>409575</xdr:colOff>
      <xdr:row>12</xdr:row>
      <xdr:rowOff>47625</xdr:rowOff>
    </xdr:to>
    <xdr:sp macro="" textlink="KPI!B4">
      <xdr:nvSpPr>
        <xdr:cNvPr id="13" name="TextBox 12">
          <a:extLst>
            <a:ext uri="{FF2B5EF4-FFF2-40B4-BE49-F238E27FC236}">
              <a16:creationId xmlns:a16="http://schemas.microsoft.com/office/drawing/2014/main" id="{9654B929-4F32-45BD-8282-589540E7B2C3}"/>
            </a:ext>
          </a:extLst>
        </xdr:cNvPr>
        <xdr:cNvSpPr txBox="1"/>
      </xdr:nvSpPr>
      <xdr:spPr>
        <a:xfrm>
          <a:off x="5448300" y="1524000"/>
          <a:ext cx="2276475"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780A5B62-DAB6-4092-AA63-631E41268365}" type="TxLink">
            <a:rPr lang="en-US" sz="3200" b="1" i="0" u="none" strike="noStrike">
              <a:solidFill>
                <a:srgbClr val="000000"/>
              </a:solidFill>
              <a:effectLst/>
              <a:latin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1,339</a:t>
          </a:fld>
          <a:endParaRPr lang="en-US" sz="3200" b="1"/>
        </a:p>
      </xdr:txBody>
    </xdr:sp>
    <xdr:clientData/>
  </xdr:twoCellAnchor>
  <xdr:twoCellAnchor>
    <xdr:from>
      <xdr:col>9</xdr:col>
      <xdr:colOff>152400</xdr:colOff>
      <xdr:row>5</xdr:row>
      <xdr:rowOff>171450</xdr:rowOff>
    </xdr:from>
    <xdr:to>
      <xdr:col>12</xdr:col>
      <xdr:colOff>152400</xdr:colOff>
      <xdr:row>7</xdr:row>
      <xdr:rowOff>123825</xdr:rowOff>
    </xdr:to>
    <xdr:sp macro="" textlink="">
      <xdr:nvSpPr>
        <xdr:cNvPr id="14" name="TextBox 13">
          <a:extLst>
            <a:ext uri="{FF2B5EF4-FFF2-40B4-BE49-F238E27FC236}">
              <a16:creationId xmlns:a16="http://schemas.microsoft.com/office/drawing/2014/main" id="{FA4094B1-0BB8-4742-888E-13D4785A5D1F}"/>
            </a:ext>
          </a:extLst>
        </xdr:cNvPr>
        <xdr:cNvSpPr txBox="1"/>
      </xdr:nvSpPr>
      <xdr:spPr>
        <a:xfrm>
          <a:off x="5638800" y="1123950"/>
          <a:ext cx="1828800"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Number of Customers</a:t>
          </a:r>
        </a:p>
      </xdr:txBody>
    </xdr:sp>
    <xdr:clientData/>
  </xdr:twoCellAnchor>
  <xdr:twoCellAnchor>
    <xdr:from>
      <xdr:col>2</xdr:col>
      <xdr:colOff>161925</xdr:colOff>
      <xdr:row>5</xdr:row>
      <xdr:rowOff>152400</xdr:rowOff>
    </xdr:from>
    <xdr:to>
      <xdr:col>5</xdr:col>
      <xdr:colOff>76200</xdr:colOff>
      <xdr:row>7</xdr:row>
      <xdr:rowOff>57150</xdr:rowOff>
    </xdr:to>
    <xdr:sp macro="" textlink="">
      <xdr:nvSpPr>
        <xdr:cNvPr id="15" name="TextBox 14">
          <a:extLst>
            <a:ext uri="{FF2B5EF4-FFF2-40B4-BE49-F238E27FC236}">
              <a16:creationId xmlns:a16="http://schemas.microsoft.com/office/drawing/2014/main" id="{CF945AEA-3FA2-45BB-874E-30A5A241F9EA}"/>
            </a:ext>
          </a:extLst>
        </xdr:cNvPr>
        <xdr:cNvSpPr txBox="1"/>
      </xdr:nvSpPr>
      <xdr:spPr>
        <a:xfrm>
          <a:off x="1381125" y="1104900"/>
          <a:ext cx="17430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Total Expenses</a:t>
          </a:r>
        </a:p>
      </xdr:txBody>
    </xdr:sp>
    <xdr:clientData/>
  </xdr:twoCellAnchor>
  <xdr:twoCellAnchor>
    <xdr:from>
      <xdr:col>15</xdr:col>
      <xdr:colOff>533400</xdr:colOff>
      <xdr:row>8</xdr:row>
      <xdr:rowOff>9525</xdr:rowOff>
    </xdr:from>
    <xdr:to>
      <xdr:col>19</xdr:col>
      <xdr:colOff>304800</xdr:colOff>
      <xdr:row>12</xdr:row>
      <xdr:rowOff>0</xdr:rowOff>
    </xdr:to>
    <xdr:sp macro="" textlink="KPI!B3">
      <xdr:nvSpPr>
        <xdr:cNvPr id="16" name="TextBox 15">
          <a:extLst>
            <a:ext uri="{FF2B5EF4-FFF2-40B4-BE49-F238E27FC236}">
              <a16:creationId xmlns:a16="http://schemas.microsoft.com/office/drawing/2014/main" id="{03501506-80DD-437A-AEFC-E8E9A42A6C11}"/>
            </a:ext>
          </a:extLst>
        </xdr:cNvPr>
        <xdr:cNvSpPr txBox="1"/>
      </xdr:nvSpPr>
      <xdr:spPr>
        <a:xfrm>
          <a:off x="9677400" y="1533525"/>
          <a:ext cx="2209800"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F8ADD5-5171-4CAB-B62C-3B73D5FE0560}" type="TxLink">
            <a:rPr lang="en-US" sz="2800" b="1" i="0" u="none" strike="noStrike">
              <a:solidFill>
                <a:srgbClr val="000000"/>
              </a:solidFill>
              <a:latin typeface="Calibri"/>
              <a:cs typeface="Calibri"/>
            </a:rPr>
            <a:pPr algn="ctr"/>
            <a:t>$13.27K</a:t>
          </a:fld>
          <a:endParaRPr lang="en-US" sz="2800" b="1"/>
        </a:p>
      </xdr:txBody>
    </xdr:sp>
    <xdr:clientData/>
  </xdr:twoCellAnchor>
  <xdr:twoCellAnchor>
    <xdr:from>
      <xdr:col>16</xdr:col>
      <xdr:colOff>123825</xdr:colOff>
      <xdr:row>6</xdr:row>
      <xdr:rowOff>19050</xdr:rowOff>
    </xdr:from>
    <xdr:to>
      <xdr:col>19</xdr:col>
      <xdr:colOff>104775</xdr:colOff>
      <xdr:row>7</xdr:row>
      <xdr:rowOff>104775</xdr:rowOff>
    </xdr:to>
    <xdr:sp macro="" textlink="">
      <xdr:nvSpPr>
        <xdr:cNvPr id="17" name="TextBox 16">
          <a:extLst>
            <a:ext uri="{FF2B5EF4-FFF2-40B4-BE49-F238E27FC236}">
              <a16:creationId xmlns:a16="http://schemas.microsoft.com/office/drawing/2014/main" id="{A1AD426C-6341-46FE-AA61-A7ACACCECCEA}"/>
            </a:ext>
          </a:extLst>
        </xdr:cNvPr>
        <xdr:cNvSpPr txBox="1"/>
      </xdr:nvSpPr>
      <xdr:spPr>
        <a:xfrm>
          <a:off x="9877425" y="1162050"/>
          <a:ext cx="180975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Average Expense</a:t>
          </a:r>
        </a:p>
      </xdr:txBody>
    </xdr:sp>
    <xdr:clientData/>
  </xdr:twoCellAnchor>
  <xdr:twoCellAnchor>
    <xdr:from>
      <xdr:col>22</xdr:col>
      <xdr:colOff>238125</xdr:colOff>
      <xdr:row>8</xdr:row>
      <xdr:rowOff>57150</xdr:rowOff>
    </xdr:from>
    <xdr:to>
      <xdr:col>26</xdr:col>
      <xdr:colOff>171450</xdr:colOff>
      <xdr:row>12</xdr:row>
      <xdr:rowOff>76200</xdr:rowOff>
    </xdr:to>
    <xdr:sp macro="" textlink="KPI!B5">
      <xdr:nvSpPr>
        <xdr:cNvPr id="18" name="TextBox 17">
          <a:extLst>
            <a:ext uri="{FF2B5EF4-FFF2-40B4-BE49-F238E27FC236}">
              <a16:creationId xmlns:a16="http://schemas.microsoft.com/office/drawing/2014/main" id="{08010D8C-C0C3-4C9A-A9FE-DEDFB9BCC142}"/>
            </a:ext>
          </a:extLst>
        </xdr:cNvPr>
        <xdr:cNvSpPr txBox="1"/>
      </xdr:nvSpPr>
      <xdr:spPr>
        <a:xfrm>
          <a:off x="13649325" y="1581150"/>
          <a:ext cx="2371725"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6A9843-9BD3-44C1-8FA8-A79BB2E77CC5}" type="TxLink">
            <a:rPr lang="en-US" sz="2800" b="1" i="0" u="none" strike="noStrike">
              <a:solidFill>
                <a:srgbClr val="000000"/>
              </a:solidFill>
              <a:latin typeface="Calibri"/>
              <a:cs typeface="Calibri"/>
            </a:rPr>
            <a:pPr algn="ctr"/>
            <a:t>274</a:t>
          </a:fld>
          <a:endParaRPr lang="en-US" sz="2800" b="1"/>
        </a:p>
      </xdr:txBody>
    </xdr:sp>
    <xdr:clientData/>
  </xdr:twoCellAnchor>
  <xdr:twoCellAnchor>
    <xdr:from>
      <xdr:col>22</xdr:col>
      <xdr:colOff>504825</xdr:colOff>
      <xdr:row>6</xdr:row>
      <xdr:rowOff>0</xdr:rowOff>
    </xdr:from>
    <xdr:to>
      <xdr:col>25</xdr:col>
      <xdr:colOff>409575</xdr:colOff>
      <xdr:row>7</xdr:row>
      <xdr:rowOff>152400</xdr:rowOff>
    </xdr:to>
    <xdr:sp macro="" textlink="">
      <xdr:nvSpPr>
        <xdr:cNvPr id="19" name="TextBox 18">
          <a:extLst>
            <a:ext uri="{FF2B5EF4-FFF2-40B4-BE49-F238E27FC236}">
              <a16:creationId xmlns:a16="http://schemas.microsoft.com/office/drawing/2014/main" id="{CD05E075-BC14-421A-9D5C-E47945A1072F}"/>
            </a:ext>
          </a:extLst>
        </xdr:cNvPr>
        <xdr:cNvSpPr txBox="1"/>
      </xdr:nvSpPr>
      <xdr:spPr>
        <a:xfrm>
          <a:off x="13916025" y="1143000"/>
          <a:ext cx="173355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Number of Smokers</a:t>
          </a:r>
        </a:p>
      </xdr:txBody>
    </xdr:sp>
    <xdr:clientData/>
  </xdr:twoCellAnchor>
  <xdr:twoCellAnchor editAs="oneCell">
    <xdr:from>
      <xdr:col>21</xdr:col>
      <xdr:colOff>142875</xdr:colOff>
      <xdr:row>32</xdr:row>
      <xdr:rowOff>0</xdr:rowOff>
    </xdr:from>
    <xdr:to>
      <xdr:col>23</xdr:col>
      <xdr:colOff>371475</xdr:colOff>
      <xdr:row>38</xdr:row>
      <xdr:rowOff>114300</xdr:rowOff>
    </xdr:to>
    <mc:AlternateContent xmlns:mc="http://schemas.openxmlformats.org/markup-compatibility/2006">
      <mc:Choice xmlns:a14="http://schemas.microsoft.com/office/drawing/2010/main" Requires="a14">
        <xdr:graphicFrame macro="">
          <xdr:nvGraphicFramePr>
            <xdr:cNvPr id="20" name="Smoker 1">
              <a:extLst>
                <a:ext uri="{FF2B5EF4-FFF2-40B4-BE49-F238E27FC236}">
                  <a16:creationId xmlns:a16="http://schemas.microsoft.com/office/drawing/2014/main" id="{E2920A65-B564-49F0-AB3E-419FBE1341C6}"/>
                </a:ext>
              </a:extLst>
            </xdr:cNvPr>
            <xdr:cNvGraphicFramePr/>
          </xdr:nvGraphicFramePr>
          <xdr:xfrm>
            <a:off x="0" y="0"/>
            <a:ext cx="0" cy="0"/>
          </xdr:xfrm>
          <a:graphic>
            <a:graphicData uri="http://schemas.microsoft.com/office/drawing/2010/slicer">
              <sle:slicer xmlns:sle="http://schemas.microsoft.com/office/drawing/2010/slicer" name="Smoker 1"/>
            </a:graphicData>
          </a:graphic>
        </xdr:graphicFrame>
      </mc:Choice>
      <mc:Fallback>
        <xdr:sp macro="" textlink="">
          <xdr:nvSpPr>
            <xdr:cNvPr id="0" name=""/>
            <xdr:cNvSpPr>
              <a:spLocks noTextEdit="1"/>
            </xdr:cNvSpPr>
          </xdr:nvSpPr>
          <xdr:spPr>
            <a:xfrm>
              <a:off x="12944475" y="6096000"/>
              <a:ext cx="1447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0</xdr:row>
      <xdr:rowOff>66675</xdr:rowOff>
    </xdr:from>
    <xdr:to>
      <xdr:col>21</xdr:col>
      <xdr:colOff>0</xdr:colOff>
      <xdr:row>4</xdr:row>
      <xdr:rowOff>66675</xdr:rowOff>
    </xdr:to>
    <xdr:sp macro="" textlink="">
      <xdr:nvSpPr>
        <xdr:cNvPr id="21" name="TextBox 20">
          <a:extLst>
            <a:ext uri="{FF2B5EF4-FFF2-40B4-BE49-F238E27FC236}">
              <a16:creationId xmlns:a16="http://schemas.microsoft.com/office/drawing/2014/main" id="{9B3B8300-D451-478D-8218-18038F8979EC}"/>
            </a:ext>
          </a:extLst>
        </xdr:cNvPr>
        <xdr:cNvSpPr txBox="1"/>
      </xdr:nvSpPr>
      <xdr:spPr>
        <a:xfrm>
          <a:off x="4267200" y="66675"/>
          <a:ext cx="85344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Times New Roman" panose="02020603050405020304" pitchFamily="18" charset="0"/>
              <a:cs typeface="Times New Roman" panose="02020603050405020304" pitchFamily="18" charset="0"/>
            </a:rPr>
            <a:t>Insurance Expenditure Analysis Dashboard</a:t>
          </a:r>
        </a:p>
        <a:p>
          <a:pPr algn="ctr"/>
          <a:r>
            <a:rPr lang="en-US" sz="1800">
              <a:latin typeface="Times New Roman" panose="02020603050405020304" pitchFamily="18" charset="0"/>
              <a:cs typeface="Times New Roman" panose="02020603050405020304" pitchFamily="18" charset="0"/>
            </a:rPr>
            <a:t>Interactive analysis by gender, region, age group, smoking status and family</a:t>
          </a:r>
          <a:r>
            <a:rPr lang="en-US" sz="1800" baseline="0">
              <a:latin typeface="Times New Roman" panose="02020603050405020304" pitchFamily="18" charset="0"/>
              <a:cs typeface="Times New Roman" panose="02020603050405020304" pitchFamily="18" charset="0"/>
            </a:rPr>
            <a:t> size</a:t>
          </a:r>
          <a:endParaRPr lang="en-US" sz="1800" b="1">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30</xdr:row>
      <xdr:rowOff>0</xdr:rowOff>
    </xdr:from>
    <xdr:to>
      <xdr:col>8</xdr:col>
      <xdr:colOff>0</xdr:colOff>
      <xdr:row>41</xdr:row>
      <xdr:rowOff>95250</xdr:rowOff>
    </xdr:to>
    <xdr:sp macro="" textlink="">
      <xdr:nvSpPr>
        <xdr:cNvPr id="22" name="TextBox 21">
          <a:extLst>
            <a:ext uri="{FF2B5EF4-FFF2-40B4-BE49-F238E27FC236}">
              <a16:creationId xmlns:a16="http://schemas.microsoft.com/office/drawing/2014/main" id="{A38546F9-F15A-4B1E-904F-933CEAF721C4}"/>
            </a:ext>
          </a:extLst>
        </xdr:cNvPr>
        <xdr:cNvSpPr txBox="1"/>
      </xdr:nvSpPr>
      <xdr:spPr>
        <a:xfrm>
          <a:off x="0" y="5715000"/>
          <a:ext cx="4876800" cy="2190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buFont typeface="Arial" panose="020B0604020202020204" pitchFamily="34" charset="0"/>
            <a:buNone/>
          </a:pPr>
          <a:r>
            <a:rPr lang="en-US" sz="1600" b="1">
              <a:latin typeface="Times New Roman" panose="02020603050405020304" pitchFamily="18" charset="0"/>
              <a:cs typeface="Times New Roman" panose="02020603050405020304" pitchFamily="18" charset="0"/>
            </a:rPr>
            <a:t>Key Insights</a:t>
          </a:r>
        </a:p>
        <a:p>
          <a:pPr marL="171450" indent="-171450">
            <a:buFont typeface="Arial" panose="020B0604020202020204" pitchFamily="34" charset="0"/>
            <a:buChar char="•"/>
          </a:pPr>
          <a:endParaRPr lang="en-US" sz="1400">
            <a:solidFill>
              <a:srgbClr val="002060"/>
            </a:solidFill>
          </a:endParaRPr>
        </a:p>
        <a:p>
          <a:pPr marL="171450" indent="-171450">
            <a:buFont typeface="Arial" panose="020B0604020202020204" pitchFamily="34" charset="0"/>
            <a:buChar char="•"/>
          </a:pPr>
          <a:r>
            <a:rPr lang="en-US" sz="1400">
              <a:latin typeface="Bahnschrift Light" panose="020B0502040204020203" pitchFamily="34" charset="0"/>
            </a:rPr>
            <a:t>Senior Adults account for the highest insurance expenditure.</a:t>
          </a:r>
        </a:p>
        <a:p>
          <a:pPr marL="171450" indent="-171450">
            <a:buFont typeface="Arial" panose="020B0604020202020204" pitchFamily="34" charset="0"/>
            <a:buChar char="•"/>
          </a:pPr>
          <a:r>
            <a:rPr lang="en-US" sz="1400">
              <a:latin typeface="Bahnschrift Light" panose="020B0502040204020203" pitchFamily="34" charset="0"/>
            </a:rPr>
            <a:t> Non-smokers contribute a higher total expenditure, because they make up the</a:t>
          </a:r>
          <a:r>
            <a:rPr lang="en-US" sz="1400" baseline="0">
              <a:latin typeface="Bahnschrift Light" panose="020B0502040204020203" pitchFamily="34" charset="0"/>
            </a:rPr>
            <a:t> majority</a:t>
          </a:r>
          <a:r>
            <a:rPr lang="en-US" sz="1400">
              <a:latin typeface="Bahnschrift Light" panose="020B0502040204020203" pitchFamily="34" charset="0"/>
            </a:rPr>
            <a:t> of customers. </a:t>
          </a:r>
        </a:p>
        <a:p>
          <a:pPr marL="171450" indent="-171450">
            <a:buFont typeface="Arial" panose="020B0604020202020204" pitchFamily="34" charset="0"/>
            <a:buChar char="•"/>
          </a:pPr>
          <a:r>
            <a:rPr lang="en-US" sz="1400">
              <a:latin typeface="Bahnschrift Light" panose="020B0502040204020203" pitchFamily="34" charset="0"/>
            </a:rPr>
            <a:t>The Southeast region contributes the largest share of expenditure (30%). </a:t>
          </a:r>
        </a:p>
        <a:p>
          <a:pPr marL="171450" indent="-171450">
            <a:buFont typeface="Arial" panose="020B0604020202020204" pitchFamily="34" charset="0"/>
            <a:buChar char="•"/>
          </a:pPr>
          <a:r>
            <a:rPr lang="en-US" sz="1400">
              <a:latin typeface="Bahnschrift Light" panose="020B0502040204020203" pitchFamily="34" charset="0"/>
            </a:rPr>
            <a:t>Male customers have higher total expenditure than female customers.</a:t>
          </a:r>
        </a:p>
      </xdr:txBody>
    </xdr:sp>
    <xdr:clientData/>
  </xdr:twoCellAnchor>
  <xdr:twoCellAnchor>
    <xdr:from>
      <xdr:col>28</xdr:col>
      <xdr:colOff>190500</xdr:colOff>
      <xdr:row>44</xdr:row>
      <xdr:rowOff>114300</xdr:rowOff>
    </xdr:from>
    <xdr:to>
      <xdr:col>29</xdr:col>
      <xdr:colOff>495300</xdr:colOff>
      <xdr:row>46</xdr:row>
      <xdr:rowOff>19050</xdr:rowOff>
    </xdr:to>
    <xdr:sp macro="" textlink="">
      <xdr:nvSpPr>
        <xdr:cNvPr id="23" name="TextBox 22">
          <a:extLst>
            <a:ext uri="{FF2B5EF4-FFF2-40B4-BE49-F238E27FC236}">
              <a16:creationId xmlns:a16="http://schemas.microsoft.com/office/drawing/2014/main" id="{2B859D11-A0BE-48C5-A1CF-F294947735D7}"/>
            </a:ext>
          </a:extLst>
        </xdr:cNvPr>
        <xdr:cNvSpPr txBox="1"/>
      </xdr:nvSpPr>
      <xdr:spPr>
        <a:xfrm>
          <a:off x="17259300" y="8496300"/>
          <a:ext cx="9144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00" b="1">
              <a:latin typeface="Castellar" panose="020A0402060406010301" pitchFamily="18" charset="0"/>
            </a:rPr>
            <a:t>Produced By</a:t>
          </a:r>
        </a:p>
        <a:p>
          <a:pPr algn="ctr"/>
          <a:r>
            <a:rPr lang="en-US" sz="500" b="1">
              <a:latin typeface="Castellar" panose="020A0402060406010301" pitchFamily="18" charset="0"/>
            </a:rPr>
            <a:t>Konings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nings" refreshedDate="46219.958008796297" createdVersion="8" refreshedVersion="8" minRefreshableVersion="3" recordCount="1338" xr:uid="{C68D1DCB-13E0-4182-B8A4-BACA9A6F36B0}">
  <cacheSource type="worksheet">
    <worksheetSource name="Table1"/>
  </cacheSource>
  <cacheFields count="8">
    <cacheField name="Age" numFmtId="1">
      <sharedItems containsSemiMixedTypes="0" containsString="0" containsNumber="1" containsInteger="1" minValue="18" maxValue="64" count="47">
        <n v="19"/>
        <n v="18"/>
        <n v="28"/>
        <n v="33"/>
        <n v="32"/>
        <n v="31"/>
        <n v="46"/>
        <n v="37"/>
        <n v="60"/>
        <n v="25"/>
        <n v="62"/>
        <n v="23"/>
        <n v="56"/>
        <n v="27"/>
        <n v="52"/>
        <n v="30"/>
        <n v="34"/>
        <n v="59"/>
        <n v="63"/>
        <n v="55"/>
        <n v="22"/>
        <n v="26"/>
        <n v="35"/>
        <n v="24"/>
        <n v="41"/>
        <n v="38"/>
        <n v="36"/>
        <n v="21"/>
        <n v="48"/>
        <n v="40"/>
        <n v="58"/>
        <n v="53"/>
        <n v="43"/>
        <n v="64"/>
        <n v="20"/>
        <n v="61"/>
        <n v="44"/>
        <n v="57"/>
        <n v="29"/>
        <n v="45"/>
        <n v="54"/>
        <n v="49"/>
        <n v="47"/>
        <n v="51"/>
        <n v="42"/>
        <n v="50"/>
        <n v="39"/>
      </sharedItems>
    </cacheField>
    <cacheField name="Gender" numFmtId="0">
      <sharedItems count="2">
        <s v="Female"/>
        <s v="Male"/>
      </sharedItems>
    </cacheField>
    <cacheField name="Bmi" numFmtId="164">
      <sharedItems containsSemiMixedTypes="0" containsString="0" containsNumber="1" minValue="16" maxValue="53.1"/>
    </cacheField>
    <cacheField name="Children" numFmtId="1">
      <sharedItems containsSemiMixedTypes="0" containsString="0" containsNumber="1" containsInteger="1" minValue="0" maxValue="5" count="6">
        <n v="0"/>
        <n v="1"/>
        <n v="3"/>
        <n v="2"/>
        <n v="5"/>
        <n v="4"/>
      </sharedItems>
    </cacheField>
    <cacheField name="Smoker" numFmtId="0">
      <sharedItems count="2">
        <s v="Yes"/>
        <s v="No"/>
      </sharedItems>
    </cacheField>
    <cacheField name="Region" numFmtId="0">
      <sharedItems count="4">
        <s v="Southwest"/>
        <s v="Southeast"/>
        <s v="Northwest"/>
        <s v="Northeast"/>
      </sharedItems>
    </cacheField>
    <cacheField name="Expenses" numFmtId="165">
      <sharedItems containsSemiMixedTypes="0" containsString="0" containsNumber="1" minValue="1121.8699999999999" maxValue="63770.43"/>
    </cacheField>
    <cacheField name="Age Group" numFmtId="0">
      <sharedItems count="4">
        <s v="Teenager"/>
        <s v="Young Adult"/>
        <s v="Senior Adult"/>
        <s v="Elderly"/>
      </sharedItems>
    </cacheField>
  </cacheFields>
  <extLst>
    <ext xmlns:x14="http://schemas.microsoft.com/office/spreadsheetml/2009/9/main" uri="{725AE2AE-9491-48be-B2B4-4EB974FC3084}">
      <x14:pivotCacheDefinition pivotCacheId="1910788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x v="0"/>
    <x v="0"/>
    <n v="27.9"/>
    <x v="0"/>
    <x v="0"/>
    <x v="0"/>
    <n v="16884.919999999998"/>
    <x v="0"/>
  </r>
  <r>
    <x v="1"/>
    <x v="1"/>
    <n v="33.799999999999997"/>
    <x v="1"/>
    <x v="1"/>
    <x v="1"/>
    <n v="1725.55"/>
    <x v="0"/>
  </r>
  <r>
    <x v="2"/>
    <x v="1"/>
    <n v="33"/>
    <x v="2"/>
    <x v="1"/>
    <x v="1"/>
    <n v="4449.46"/>
    <x v="1"/>
  </r>
  <r>
    <x v="3"/>
    <x v="1"/>
    <n v="22.7"/>
    <x v="0"/>
    <x v="1"/>
    <x v="2"/>
    <n v="21984.47"/>
    <x v="1"/>
  </r>
  <r>
    <x v="4"/>
    <x v="1"/>
    <n v="28.9"/>
    <x v="0"/>
    <x v="1"/>
    <x v="2"/>
    <n v="3866.86"/>
    <x v="1"/>
  </r>
  <r>
    <x v="5"/>
    <x v="0"/>
    <n v="25.7"/>
    <x v="0"/>
    <x v="1"/>
    <x v="1"/>
    <n v="3756.62"/>
    <x v="1"/>
  </r>
  <r>
    <x v="6"/>
    <x v="0"/>
    <n v="33.4"/>
    <x v="1"/>
    <x v="1"/>
    <x v="1"/>
    <n v="8240.59"/>
    <x v="2"/>
  </r>
  <r>
    <x v="7"/>
    <x v="0"/>
    <n v="27.7"/>
    <x v="2"/>
    <x v="1"/>
    <x v="2"/>
    <n v="7281.51"/>
    <x v="1"/>
  </r>
  <r>
    <x v="7"/>
    <x v="1"/>
    <n v="29.8"/>
    <x v="3"/>
    <x v="1"/>
    <x v="3"/>
    <n v="6406.41"/>
    <x v="1"/>
  </r>
  <r>
    <x v="8"/>
    <x v="0"/>
    <n v="25.8"/>
    <x v="0"/>
    <x v="1"/>
    <x v="2"/>
    <n v="28923.14"/>
    <x v="3"/>
  </r>
  <r>
    <x v="9"/>
    <x v="1"/>
    <n v="26.2"/>
    <x v="0"/>
    <x v="1"/>
    <x v="3"/>
    <n v="2721.32"/>
    <x v="1"/>
  </r>
  <r>
    <x v="10"/>
    <x v="0"/>
    <n v="26.3"/>
    <x v="0"/>
    <x v="0"/>
    <x v="1"/>
    <n v="27808.73"/>
    <x v="3"/>
  </r>
  <r>
    <x v="11"/>
    <x v="1"/>
    <n v="34.4"/>
    <x v="0"/>
    <x v="1"/>
    <x v="0"/>
    <n v="1826.84"/>
    <x v="1"/>
  </r>
  <r>
    <x v="12"/>
    <x v="0"/>
    <n v="39.799999999999997"/>
    <x v="0"/>
    <x v="1"/>
    <x v="1"/>
    <n v="11090.72"/>
    <x v="2"/>
  </r>
  <r>
    <x v="13"/>
    <x v="1"/>
    <n v="42.1"/>
    <x v="0"/>
    <x v="0"/>
    <x v="1"/>
    <n v="39611.760000000002"/>
    <x v="1"/>
  </r>
  <r>
    <x v="0"/>
    <x v="1"/>
    <n v="24.6"/>
    <x v="1"/>
    <x v="1"/>
    <x v="0"/>
    <n v="1837.24"/>
    <x v="0"/>
  </r>
  <r>
    <x v="14"/>
    <x v="0"/>
    <n v="30.8"/>
    <x v="1"/>
    <x v="1"/>
    <x v="3"/>
    <n v="10797.34"/>
    <x v="2"/>
  </r>
  <r>
    <x v="11"/>
    <x v="1"/>
    <n v="23.8"/>
    <x v="0"/>
    <x v="1"/>
    <x v="3"/>
    <n v="2395.17"/>
    <x v="1"/>
  </r>
  <r>
    <x v="12"/>
    <x v="1"/>
    <n v="40.299999999999997"/>
    <x v="0"/>
    <x v="1"/>
    <x v="0"/>
    <n v="10602.39"/>
    <x v="2"/>
  </r>
  <r>
    <x v="15"/>
    <x v="1"/>
    <n v="35.299999999999997"/>
    <x v="0"/>
    <x v="0"/>
    <x v="0"/>
    <n v="36837.47"/>
    <x v="1"/>
  </r>
  <r>
    <x v="8"/>
    <x v="0"/>
    <n v="36"/>
    <x v="0"/>
    <x v="1"/>
    <x v="3"/>
    <n v="13228.85"/>
    <x v="3"/>
  </r>
  <r>
    <x v="15"/>
    <x v="0"/>
    <n v="32.4"/>
    <x v="1"/>
    <x v="1"/>
    <x v="0"/>
    <n v="4149.74"/>
    <x v="1"/>
  </r>
  <r>
    <x v="1"/>
    <x v="1"/>
    <n v="34.1"/>
    <x v="0"/>
    <x v="1"/>
    <x v="1"/>
    <n v="1137.01"/>
    <x v="0"/>
  </r>
  <r>
    <x v="16"/>
    <x v="0"/>
    <n v="31.9"/>
    <x v="1"/>
    <x v="0"/>
    <x v="3"/>
    <n v="37701.879999999997"/>
    <x v="1"/>
  </r>
  <r>
    <x v="7"/>
    <x v="1"/>
    <n v="28"/>
    <x v="3"/>
    <x v="1"/>
    <x v="2"/>
    <n v="6203.9"/>
    <x v="1"/>
  </r>
  <r>
    <x v="17"/>
    <x v="0"/>
    <n v="27.7"/>
    <x v="2"/>
    <x v="1"/>
    <x v="1"/>
    <n v="14001.13"/>
    <x v="2"/>
  </r>
  <r>
    <x v="18"/>
    <x v="0"/>
    <n v="23.1"/>
    <x v="0"/>
    <x v="1"/>
    <x v="3"/>
    <n v="14451.84"/>
    <x v="3"/>
  </r>
  <r>
    <x v="19"/>
    <x v="0"/>
    <n v="32.799999999999997"/>
    <x v="3"/>
    <x v="1"/>
    <x v="2"/>
    <n v="12268.63"/>
    <x v="2"/>
  </r>
  <r>
    <x v="11"/>
    <x v="1"/>
    <n v="17.399999999999999"/>
    <x v="1"/>
    <x v="1"/>
    <x v="2"/>
    <n v="2775.19"/>
    <x v="1"/>
  </r>
  <r>
    <x v="5"/>
    <x v="1"/>
    <n v="36.299999999999997"/>
    <x v="3"/>
    <x v="0"/>
    <x v="0"/>
    <n v="38711"/>
    <x v="1"/>
  </r>
  <r>
    <x v="20"/>
    <x v="1"/>
    <n v="35.6"/>
    <x v="0"/>
    <x v="0"/>
    <x v="0"/>
    <n v="35585.58"/>
    <x v="1"/>
  </r>
  <r>
    <x v="1"/>
    <x v="0"/>
    <n v="26.3"/>
    <x v="0"/>
    <x v="1"/>
    <x v="3"/>
    <n v="2198.19"/>
    <x v="0"/>
  </r>
  <r>
    <x v="0"/>
    <x v="0"/>
    <n v="28.6"/>
    <x v="4"/>
    <x v="1"/>
    <x v="0"/>
    <n v="4687.8"/>
    <x v="0"/>
  </r>
  <r>
    <x v="18"/>
    <x v="1"/>
    <n v="28.3"/>
    <x v="0"/>
    <x v="1"/>
    <x v="2"/>
    <n v="13770.1"/>
    <x v="3"/>
  </r>
  <r>
    <x v="2"/>
    <x v="1"/>
    <n v="36.4"/>
    <x v="1"/>
    <x v="0"/>
    <x v="0"/>
    <n v="51194.559999999998"/>
    <x v="1"/>
  </r>
  <r>
    <x v="0"/>
    <x v="1"/>
    <n v="20.399999999999999"/>
    <x v="0"/>
    <x v="1"/>
    <x v="2"/>
    <n v="1625.43"/>
    <x v="0"/>
  </r>
  <r>
    <x v="10"/>
    <x v="0"/>
    <n v="33"/>
    <x v="2"/>
    <x v="1"/>
    <x v="2"/>
    <n v="15612.19"/>
    <x v="3"/>
  </r>
  <r>
    <x v="21"/>
    <x v="1"/>
    <n v="20.8"/>
    <x v="0"/>
    <x v="1"/>
    <x v="0"/>
    <n v="2302.3000000000002"/>
    <x v="1"/>
  </r>
  <r>
    <x v="22"/>
    <x v="1"/>
    <n v="36.700000000000003"/>
    <x v="1"/>
    <x v="0"/>
    <x v="3"/>
    <n v="39774.28"/>
    <x v="1"/>
  </r>
  <r>
    <x v="8"/>
    <x v="1"/>
    <n v="39.9"/>
    <x v="0"/>
    <x v="0"/>
    <x v="0"/>
    <n v="48173.36"/>
    <x v="3"/>
  </r>
  <r>
    <x v="23"/>
    <x v="0"/>
    <n v="26.6"/>
    <x v="0"/>
    <x v="1"/>
    <x v="3"/>
    <n v="3046.06"/>
    <x v="1"/>
  </r>
  <r>
    <x v="5"/>
    <x v="0"/>
    <n v="36.6"/>
    <x v="3"/>
    <x v="1"/>
    <x v="1"/>
    <n v="4949.76"/>
    <x v="1"/>
  </r>
  <r>
    <x v="24"/>
    <x v="1"/>
    <n v="21.8"/>
    <x v="1"/>
    <x v="1"/>
    <x v="1"/>
    <n v="6272.48"/>
    <x v="2"/>
  </r>
  <r>
    <x v="7"/>
    <x v="0"/>
    <n v="30.8"/>
    <x v="3"/>
    <x v="1"/>
    <x v="1"/>
    <n v="6313.76"/>
    <x v="1"/>
  </r>
  <r>
    <x v="25"/>
    <x v="1"/>
    <n v="37.1"/>
    <x v="1"/>
    <x v="1"/>
    <x v="3"/>
    <n v="6079.67"/>
    <x v="1"/>
  </r>
  <r>
    <x v="19"/>
    <x v="1"/>
    <n v="37.299999999999997"/>
    <x v="0"/>
    <x v="1"/>
    <x v="0"/>
    <n v="20630.28"/>
    <x v="2"/>
  </r>
  <r>
    <x v="1"/>
    <x v="0"/>
    <n v="38.700000000000003"/>
    <x v="3"/>
    <x v="1"/>
    <x v="3"/>
    <n v="3393.36"/>
    <x v="0"/>
  </r>
  <r>
    <x v="2"/>
    <x v="0"/>
    <n v="34.799999999999997"/>
    <x v="0"/>
    <x v="1"/>
    <x v="2"/>
    <n v="3556.92"/>
    <x v="1"/>
  </r>
  <r>
    <x v="8"/>
    <x v="0"/>
    <n v="24.5"/>
    <x v="0"/>
    <x v="1"/>
    <x v="1"/>
    <n v="12629.9"/>
    <x v="3"/>
  </r>
  <r>
    <x v="26"/>
    <x v="1"/>
    <n v="35.200000000000003"/>
    <x v="1"/>
    <x v="0"/>
    <x v="1"/>
    <n v="38709.18"/>
    <x v="1"/>
  </r>
  <r>
    <x v="1"/>
    <x v="0"/>
    <n v="35.6"/>
    <x v="0"/>
    <x v="1"/>
    <x v="3"/>
    <n v="2211.13"/>
    <x v="0"/>
  </r>
  <r>
    <x v="27"/>
    <x v="0"/>
    <n v="33.6"/>
    <x v="3"/>
    <x v="1"/>
    <x v="2"/>
    <n v="3579.83"/>
    <x v="1"/>
  </r>
  <r>
    <x v="28"/>
    <x v="1"/>
    <n v="28"/>
    <x v="1"/>
    <x v="0"/>
    <x v="0"/>
    <n v="23568.27"/>
    <x v="2"/>
  </r>
  <r>
    <x v="26"/>
    <x v="1"/>
    <n v="34.4"/>
    <x v="0"/>
    <x v="0"/>
    <x v="1"/>
    <n v="37742.58"/>
    <x v="1"/>
  </r>
  <r>
    <x v="29"/>
    <x v="0"/>
    <n v="28.7"/>
    <x v="2"/>
    <x v="1"/>
    <x v="2"/>
    <n v="8059.68"/>
    <x v="2"/>
  </r>
  <r>
    <x v="30"/>
    <x v="1"/>
    <n v="37"/>
    <x v="3"/>
    <x v="0"/>
    <x v="2"/>
    <n v="47496.49"/>
    <x v="2"/>
  </r>
  <r>
    <x v="30"/>
    <x v="0"/>
    <n v="31.8"/>
    <x v="3"/>
    <x v="1"/>
    <x v="3"/>
    <n v="13607.37"/>
    <x v="2"/>
  </r>
  <r>
    <x v="1"/>
    <x v="1"/>
    <n v="31.7"/>
    <x v="3"/>
    <x v="0"/>
    <x v="1"/>
    <n v="34303.17"/>
    <x v="0"/>
  </r>
  <r>
    <x v="31"/>
    <x v="0"/>
    <n v="22.9"/>
    <x v="1"/>
    <x v="0"/>
    <x v="1"/>
    <n v="23244.79"/>
    <x v="2"/>
  </r>
  <r>
    <x v="16"/>
    <x v="0"/>
    <n v="37.299999999999997"/>
    <x v="3"/>
    <x v="1"/>
    <x v="2"/>
    <n v="5989.52"/>
    <x v="1"/>
  </r>
  <r>
    <x v="32"/>
    <x v="1"/>
    <n v="27.4"/>
    <x v="2"/>
    <x v="1"/>
    <x v="3"/>
    <n v="8606.2199999999993"/>
    <x v="2"/>
  </r>
  <r>
    <x v="9"/>
    <x v="1"/>
    <n v="33.700000000000003"/>
    <x v="5"/>
    <x v="1"/>
    <x v="1"/>
    <n v="4504.66"/>
    <x v="1"/>
  </r>
  <r>
    <x v="33"/>
    <x v="1"/>
    <n v="24.7"/>
    <x v="1"/>
    <x v="1"/>
    <x v="2"/>
    <n v="30166.62"/>
    <x v="3"/>
  </r>
  <r>
    <x v="2"/>
    <x v="0"/>
    <n v="25.9"/>
    <x v="1"/>
    <x v="1"/>
    <x v="2"/>
    <n v="4133.6400000000003"/>
    <x v="1"/>
  </r>
  <r>
    <x v="34"/>
    <x v="0"/>
    <n v="22.4"/>
    <x v="0"/>
    <x v="0"/>
    <x v="2"/>
    <n v="14711.74"/>
    <x v="1"/>
  </r>
  <r>
    <x v="0"/>
    <x v="0"/>
    <n v="28.9"/>
    <x v="0"/>
    <x v="1"/>
    <x v="0"/>
    <n v="1743.21"/>
    <x v="0"/>
  </r>
  <r>
    <x v="35"/>
    <x v="0"/>
    <n v="39.1"/>
    <x v="3"/>
    <x v="1"/>
    <x v="0"/>
    <n v="14235.07"/>
    <x v="3"/>
  </r>
  <r>
    <x v="29"/>
    <x v="1"/>
    <n v="26.3"/>
    <x v="1"/>
    <x v="1"/>
    <x v="2"/>
    <n v="6389.38"/>
    <x v="2"/>
  </r>
  <r>
    <x v="29"/>
    <x v="0"/>
    <n v="36.200000000000003"/>
    <x v="0"/>
    <x v="1"/>
    <x v="1"/>
    <n v="5920.1"/>
    <x v="2"/>
  </r>
  <r>
    <x v="2"/>
    <x v="1"/>
    <n v="24"/>
    <x v="2"/>
    <x v="0"/>
    <x v="1"/>
    <n v="17663.14"/>
    <x v="1"/>
  </r>
  <r>
    <x v="13"/>
    <x v="0"/>
    <n v="24.8"/>
    <x v="0"/>
    <x v="0"/>
    <x v="1"/>
    <n v="16577.78"/>
    <x v="1"/>
  </r>
  <r>
    <x v="5"/>
    <x v="1"/>
    <n v="28.5"/>
    <x v="4"/>
    <x v="1"/>
    <x v="3"/>
    <n v="6799.46"/>
    <x v="1"/>
  </r>
  <r>
    <x v="31"/>
    <x v="0"/>
    <n v="28.1"/>
    <x v="2"/>
    <x v="1"/>
    <x v="0"/>
    <n v="11741.73"/>
    <x v="2"/>
  </r>
  <r>
    <x v="30"/>
    <x v="1"/>
    <n v="32"/>
    <x v="1"/>
    <x v="1"/>
    <x v="1"/>
    <n v="11946.63"/>
    <x v="2"/>
  </r>
  <r>
    <x v="36"/>
    <x v="1"/>
    <n v="27.4"/>
    <x v="3"/>
    <x v="1"/>
    <x v="0"/>
    <n v="7726.85"/>
    <x v="2"/>
  </r>
  <r>
    <x v="37"/>
    <x v="1"/>
    <n v="34"/>
    <x v="0"/>
    <x v="1"/>
    <x v="2"/>
    <n v="11356.66"/>
    <x v="2"/>
  </r>
  <r>
    <x v="38"/>
    <x v="0"/>
    <n v="29.6"/>
    <x v="1"/>
    <x v="1"/>
    <x v="1"/>
    <n v="3947.41"/>
    <x v="1"/>
  </r>
  <r>
    <x v="27"/>
    <x v="1"/>
    <n v="35.5"/>
    <x v="0"/>
    <x v="1"/>
    <x v="1"/>
    <n v="1532.47"/>
    <x v="1"/>
  </r>
  <r>
    <x v="20"/>
    <x v="0"/>
    <n v="39.799999999999997"/>
    <x v="0"/>
    <x v="1"/>
    <x v="3"/>
    <n v="2755.02"/>
    <x v="1"/>
  </r>
  <r>
    <x v="24"/>
    <x v="0"/>
    <n v="33"/>
    <x v="0"/>
    <x v="1"/>
    <x v="2"/>
    <n v="6571.02"/>
    <x v="2"/>
  </r>
  <r>
    <x v="5"/>
    <x v="1"/>
    <n v="26.9"/>
    <x v="1"/>
    <x v="1"/>
    <x v="3"/>
    <n v="4441.21"/>
    <x v="1"/>
  </r>
  <r>
    <x v="39"/>
    <x v="0"/>
    <n v="38.299999999999997"/>
    <x v="0"/>
    <x v="1"/>
    <x v="3"/>
    <n v="7935.29"/>
    <x v="2"/>
  </r>
  <r>
    <x v="20"/>
    <x v="1"/>
    <n v="37.6"/>
    <x v="1"/>
    <x v="0"/>
    <x v="1"/>
    <n v="37165.160000000003"/>
    <x v="1"/>
  </r>
  <r>
    <x v="28"/>
    <x v="0"/>
    <n v="41.2"/>
    <x v="5"/>
    <x v="1"/>
    <x v="2"/>
    <n v="11033.66"/>
    <x v="2"/>
  </r>
  <r>
    <x v="7"/>
    <x v="0"/>
    <n v="34.799999999999997"/>
    <x v="3"/>
    <x v="0"/>
    <x v="0"/>
    <n v="39836.519999999997"/>
    <x v="1"/>
  </r>
  <r>
    <x v="39"/>
    <x v="1"/>
    <n v="22.9"/>
    <x v="3"/>
    <x v="0"/>
    <x v="2"/>
    <n v="21098.55"/>
    <x v="2"/>
  </r>
  <r>
    <x v="37"/>
    <x v="0"/>
    <n v="31.2"/>
    <x v="0"/>
    <x v="0"/>
    <x v="2"/>
    <n v="43578.94"/>
    <x v="2"/>
  </r>
  <r>
    <x v="12"/>
    <x v="0"/>
    <n v="27.2"/>
    <x v="0"/>
    <x v="1"/>
    <x v="0"/>
    <n v="11073.18"/>
    <x v="2"/>
  </r>
  <r>
    <x v="6"/>
    <x v="0"/>
    <n v="27.7"/>
    <x v="0"/>
    <x v="1"/>
    <x v="2"/>
    <n v="8026.67"/>
    <x v="2"/>
  </r>
  <r>
    <x v="19"/>
    <x v="0"/>
    <n v="27"/>
    <x v="0"/>
    <x v="1"/>
    <x v="2"/>
    <n v="11082.58"/>
    <x v="2"/>
  </r>
  <r>
    <x v="27"/>
    <x v="0"/>
    <n v="39.5"/>
    <x v="0"/>
    <x v="1"/>
    <x v="1"/>
    <n v="2026.97"/>
    <x v="1"/>
  </r>
  <r>
    <x v="31"/>
    <x v="0"/>
    <n v="24.8"/>
    <x v="1"/>
    <x v="1"/>
    <x v="2"/>
    <n v="10942.13"/>
    <x v="2"/>
  </r>
  <r>
    <x v="17"/>
    <x v="1"/>
    <n v="29.8"/>
    <x v="2"/>
    <x v="0"/>
    <x v="3"/>
    <n v="30184.94"/>
    <x v="2"/>
  </r>
  <r>
    <x v="22"/>
    <x v="1"/>
    <n v="34.799999999999997"/>
    <x v="3"/>
    <x v="1"/>
    <x v="2"/>
    <n v="5729.01"/>
    <x v="1"/>
  </r>
  <r>
    <x v="33"/>
    <x v="0"/>
    <n v="31.3"/>
    <x v="3"/>
    <x v="0"/>
    <x v="0"/>
    <n v="47291.06"/>
    <x v="3"/>
  </r>
  <r>
    <x v="2"/>
    <x v="0"/>
    <n v="37.6"/>
    <x v="1"/>
    <x v="1"/>
    <x v="1"/>
    <n v="3766.88"/>
    <x v="1"/>
  </r>
  <r>
    <x v="40"/>
    <x v="0"/>
    <n v="30.8"/>
    <x v="2"/>
    <x v="1"/>
    <x v="0"/>
    <n v="12105.32"/>
    <x v="2"/>
  </r>
  <r>
    <x v="19"/>
    <x v="1"/>
    <n v="38.299999999999997"/>
    <x v="0"/>
    <x v="1"/>
    <x v="1"/>
    <n v="10226.280000000001"/>
    <x v="2"/>
  </r>
  <r>
    <x v="12"/>
    <x v="1"/>
    <n v="20"/>
    <x v="0"/>
    <x v="0"/>
    <x v="3"/>
    <n v="22412.65"/>
    <x v="2"/>
  </r>
  <r>
    <x v="25"/>
    <x v="1"/>
    <n v="19.3"/>
    <x v="0"/>
    <x v="0"/>
    <x v="0"/>
    <n v="15820.7"/>
    <x v="1"/>
  </r>
  <r>
    <x v="24"/>
    <x v="0"/>
    <n v="31.6"/>
    <x v="0"/>
    <x v="1"/>
    <x v="0"/>
    <n v="6186.13"/>
    <x v="2"/>
  </r>
  <r>
    <x v="15"/>
    <x v="1"/>
    <n v="25.5"/>
    <x v="0"/>
    <x v="1"/>
    <x v="3"/>
    <n v="3645.09"/>
    <x v="1"/>
  </r>
  <r>
    <x v="1"/>
    <x v="0"/>
    <n v="30.1"/>
    <x v="0"/>
    <x v="1"/>
    <x v="3"/>
    <n v="21344.85"/>
    <x v="0"/>
  </r>
  <r>
    <x v="35"/>
    <x v="0"/>
    <n v="29.9"/>
    <x v="2"/>
    <x v="0"/>
    <x v="1"/>
    <n v="30942.19"/>
    <x v="3"/>
  </r>
  <r>
    <x v="16"/>
    <x v="0"/>
    <n v="27.5"/>
    <x v="1"/>
    <x v="1"/>
    <x v="0"/>
    <n v="5003.8500000000004"/>
    <x v="1"/>
  </r>
  <r>
    <x v="34"/>
    <x v="1"/>
    <n v="28"/>
    <x v="1"/>
    <x v="0"/>
    <x v="2"/>
    <n v="17560.38"/>
    <x v="1"/>
  </r>
  <r>
    <x v="0"/>
    <x v="0"/>
    <n v="28.4"/>
    <x v="1"/>
    <x v="1"/>
    <x v="0"/>
    <n v="2331.52"/>
    <x v="0"/>
  </r>
  <r>
    <x v="21"/>
    <x v="1"/>
    <n v="30.9"/>
    <x v="3"/>
    <x v="1"/>
    <x v="2"/>
    <n v="3877.3"/>
    <x v="1"/>
  </r>
  <r>
    <x v="38"/>
    <x v="1"/>
    <n v="27.9"/>
    <x v="0"/>
    <x v="1"/>
    <x v="1"/>
    <n v="2867.12"/>
    <x v="1"/>
  </r>
  <r>
    <x v="18"/>
    <x v="1"/>
    <n v="35.1"/>
    <x v="0"/>
    <x v="0"/>
    <x v="1"/>
    <n v="47055.53"/>
    <x v="3"/>
  </r>
  <r>
    <x v="40"/>
    <x v="1"/>
    <n v="33.6"/>
    <x v="1"/>
    <x v="1"/>
    <x v="2"/>
    <n v="10825.25"/>
    <x v="2"/>
  </r>
  <r>
    <x v="19"/>
    <x v="0"/>
    <n v="29.7"/>
    <x v="3"/>
    <x v="1"/>
    <x v="0"/>
    <n v="11881.36"/>
    <x v="2"/>
  </r>
  <r>
    <x v="7"/>
    <x v="1"/>
    <n v="30.8"/>
    <x v="0"/>
    <x v="1"/>
    <x v="0"/>
    <n v="4646.76"/>
    <x v="1"/>
  </r>
  <r>
    <x v="27"/>
    <x v="0"/>
    <n v="35.700000000000003"/>
    <x v="0"/>
    <x v="1"/>
    <x v="2"/>
    <n v="2404.73"/>
    <x v="1"/>
  </r>
  <r>
    <x v="14"/>
    <x v="1"/>
    <n v="32.200000000000003"/>
    <x v="2"/>
    <x v="1"/>
    <x v="3"/>
    <n v="11488.32"/>
    <x v="2"/>
  </r>
  <r>
    <x v="8"/>
    <x v="1"/>
    <n v="28.6"/>
    <x v="0"/>
    <x v="1"/>
    <x v="3"/>
    <n v="30260"/>
    <x v="3"/>
  </r>
  <r>
    <x v="30"/>
    <x v="1"/>
    <n v="49.1"/>
    <x v="0"/>
    <x v="1"/>
    <x v="1"/>
    <n v="11381.33"/>
    <x v="2"/>
  </r>
  <r>
    <x v="38"/>
    <x v="0"/>
    <n v="27.9"/>
    <x v="1"/>
    <x v="0"/>
    <x v="1"/>
    <n v="19107.78"/>
    <x v="1"/>
  </r>
  <r>
    <x v="41"/>
    <x v="0"/>
    <n v="27.2"/>
    <x v="0"/>
    <x v="1"/>
    <x v="1"/>
    <n v="8601.33"/>
    <x v="2"/>
  </r>
  <r>
    <x v="7"/>
    <x v="0"/>
    <n v="23.4"/>
    <x v="3"/>
    <x v="1"/>
    <x v="2"/>
    <n v="6686.43"/>
    <x v="1"/>
  </r>
  <r>
    <x v="36"/>
    <x v="1"/>
    <n v="37.1"/>
    <x v="3"/>
    <x v="1"/>
    <x v="0"/>
    <n v="7740.34"/>
    <x v="2"/>
  </r>
  <r>
    <x v="1"/>
    <x v="1"/>
    <n v="23.8"/>
    <x v="0"/>
    <x v="1"/>
    <x v="3"/>
    <n v="1705.62"/>
    <x v="0"/>
  </r>
  <r>
    <x v="34"/>
    <x v="0"/>
    <n v="29"/>
    <x v="0"/>
    <x v="1"/>
    <x v="2"/>
    <n v="2257.48"/>
    <x v="1"/>
  </r>
  <r>
    <x v="36"/>
    <x v="1"/>
    <n v="31.4"/>
    <x v="1"/>
    <x v="0"/>
    <x v="3"/>
    <n v="39556.49"/>
    <x v="2"/>
  </r>
  <r>
    <x v="42"/>
    <x v="0"/>
    <n v="33.9"/>
    <x v="2"/>
    <x v="1"/>
    <x v="2"/>
    <n v="10115.01"/>
    <x v="2"/>
  </r>
  <r>
    <x v="21"/>
    <x v="0"/>
    <n v="28.8"/>
    <x v="0"/>
    <x v="1"/>
    <x v="3"/>
    <n v="3385.4"/>
    <x v="1"/>
  </r>
  <r>
    <x v="0"/>
    <x v="0"/>
    <n v="28.3"/>
    <x v="0"/>
    <x v="0"/>
    <x v="0"/>
    <n v="17081.080000000002"/>
    <x v="0"/>
  </r>
  <r>
    <x v="14"/>
    <x v="0"/>
    <n v="37.4"/>
    <x v="0"/>
    <x v="1"/>
    <x v="0"/>
    <n v="9634.5400000000009"/>
    <x v="2"/>
  </r>
  <r>
    <x v="4"/>
    <x v="0"/>
    <n v="17.8"/>
    <x v="3"/>
    <x v="0"/>
    <x v="2"/>
    <n v="32734.19"/>
    <x v="1"/>
  </r>
  <r>
    <x v="25"/>
    <x v="1"/>
    <n v="34.700000000000003"/>
    <x v="3"/>
    <x v="1"/>
    <x v="0"/>
    <n v="6082.41"/>
    <x v="1"/>
  </r>
  <r>
    <x v="17"/>
    <x v="0"/>
    <n v="26.5"/>
    <x v="0"/>
    <x v="1"/>
    <x v="3"/>
    <n v="12815.44"/>
    <x v="2"/>
  </r>
  <r>
    <x v="35"/>
    <x v="0"/>
    <n v="22"/>
    <x v="0"/>
    <x v="1"/>
    <x v="3"/>
    <n v="13616.36"/>
    <x v="3"/>
  </r>
  <r>
    <x v="31"/>
    <x v="0"/>
    <n v="35.9"/>
    <x v="3"/>
    <x v="1"/>
    <x v="0"/>
    <n v="11163.57"/>
    <x v="2"/>
  </r>
  <r>
    <x v="0"/>
    <x v="1"/>
    <n v="25.6"/>
    <x v="0"/>
    <x v="1"/>
    <x v="2"/>
    <n v="1632.56"/>
    <x v="0"/>
  </r>
  <r>
    <x v="34"/>
    <x v="0"/>
    <n v="28.8"/>
    <x v="0"/>
    <x v="1"/>
    <x v="3"/>
    <n v="2457.21"/>
    <x v="1"/>
  </r>
  <r>
    <x v="20"/>
    <x v="0"/>
    <n v="28.1"/>
    <x v="0"/>
    <x v="1"/>
    <x v="1"/>
    <n v="2155.6799999999998"/>
    <x v="1"/>
  </r>
  <r>
    <x v="0"/>
    <x v="1"/>
    <n v="34.1"/>
    <x v="0"/>
    <x v="1"/>
    <x v="0"/>
    <n v="1261.44"/>
    <x v="0"/>
  </r>
  <r>
    <x v="20"/>
    <x v="1"/>
    <n v="25.2"/>
    <x v="0"/>
    <x v="1"/>
    <x v="2"/>
    <n v="2045.69"/>
    <x v="1"/>
  </r>
  <r>
    <x v="40"/>
    <x v="0"/>
    <n v="31.9"/>
    <x v="2"/>
    <x v="1"/>
    <x v="1"/>
    <n v="27322.73"/>
    <x v="2"/>
  </r>
  <r>
    <x v="20"/>
    <x v="0"/>
    <n v="36"/>
    <x v="0"/>
    <x v="1"/>
    <x v="0"/>
    <n v="2166.73"/>
    <x v="1"/>
  </r>
  <r>
    <x v="16"/>
    <x v="1"/>
    <n v="22.4"/>
    <x v="3"/>
    <x v="1"/>
    <x v="3"/>
    <n v="27375.9"/>
    <x v="1"/>
  </r>
  <r>
    <x v="21"/>
    <x v="1"/>
    <n v="32.5"/>
    <x v="1"/>
    <x v="1"/>
    <x v="3"/>
    <n v="3490.55"/>
    <x v="1"/>
  </r>
  <r>
    <x v="16"/>
    <x v="1"/>
    <n v="25.3"/>
    <x v="3"/>
    <x v="0"/>
    <x v="1"/>
    <n v="18972.5"/>
    <x v="1"/>
  </r>
  <r>
    <x v="38"/>
    <x v="1"/>
    <n v="29.7"/>
    <x v="3"/>
    <x v="1"/>
    <x v="2"/>
    <n v="18157.88"/>
    <x v="1"/>
  </r>
  <r>
    <x v="15"/>
    <x v="1"/>
    <n v="28.7"/>
    <x v="2"/>
    <x v="0"/>
    <x v="2"/>
    <n v="20745.990000000002"/>
    <x v="1"/>
  </r>
  <r>
    <x v="38"/>
    <x v="0"/>
    <n v="38.799999999999997"/>
    <x v="2"/>
    <x v="1"/>
    <x v="1"/>
    <n v="5138.26"/>
    <x v="1"/>
  </r>
  <r>
    <x v="6"/>
    <x v="1"/>
    <n v="30.5"/>
    <x v="2"/>
    <x v="0"/>
    <x v="2"/>
    <n v="40720.550000000003"/>
    <x v="2"/>
  </r>
  <r>
    <x v="43"/>
    <x v="0"/>
    <n v="37.700000000000003"/>
    <x v="1"/>
    <x v="1"/>
    <x v="1"/>
    <n v="9877.61"/>
    <x v="2"/>
  </r>
  <r>
    <x v="31"/>
    <x v="0"/>
    <n v="37.4"/>
    <x v="1"/>
    <x v="1"/>
    <x v="2"/>
    <n v="10959.69"/>
    <x v="2"/>
  </r>
  <r>
    <x v="0"/>
    <x v="1"/>
    <n v="28.4"/>
    <x v="1"/>
    <x v="1"/>
    <x v="0"/>
    <n v="1842.52"/>
    <x v="0"/>
  </r>
  <r>
    <x v="22"/>
    <x v="1"/>
    <n v="24.1"/>
    <x v="1"/>
    <x v="1"/>
    <x v="2"/>
    <n v="5125.22"/>
    <x v="1"/>
  </r>
  <r>
    <x v="28"/>
    <x v="1"/>
    <n v="29.7"/>
    <x v="0"/>
    <x v="1"/>
    <x v="1"/>
    <n v="7789.64"/>
    <x v="2"/>
  </r>
  <r>
    <x v="4"/>
    <x v="0"/>
    <n v="37.1"/>
    <x v="2"/>
    <x v="1"/>
    <x v="3"/>
    <n v="6334.34"/>
    <x v="1"/>
  </r>
  <r>
    <x v="44"/>
    <x v="0"/>
    <n v="23.4"/>
    <x v="0"/>
    <x v="0"/>
    <x v="3"/>
    <n v="19964.75"/>
    <x v="2"/>
  </r>
  <r>
    <x v="29"/>
    <x v="0"/>
    <n v="25.5"/>
    <x v="1"/>
    <x v="1"/>
    <x v="3"/>
    <n v="7077.19"/>
    <x v="2"/>
  </r>
  <r>
    <x v="36"/>
    <x v="1"/>
    <n v="39.5"/>
    <x v="0"/>
    <x v="1"/>
    <x v="2"/>
    <n v="6948.7"/>
    <x v="2"/>
  </r>
  <r>
    <x v="28"/>
    <x v="1"/>
    <n v="24.4"/>
    <x v="0"/>
    <x v="0"/>
    <x v="1"/>
    <n v="21223.68"/>
    <x v="2"/>
  </r>
  <r>
    <x v="1"/>
    <x v="1"/>
    <n v="25.2"/>
    <x v="0"/>
    <x v="0"/>
    <x v="3"/>
    <n v="15518.18"/>
    <x v="0"/>
  </r>
  <r>
    <x v="15"/>
    <x v="1"/>
    <n v="35.5"/>
    <x v="0"/>
    <x v="0"/>
    <x v="1"/>
    <n v="36950.26"/>
    <x v="1"/>
  </r>
  <r>
    <x v="45"/>
    <x v="0"/>
    <n v="27.8"/>
    <x v="2"/>
    <x v="1"/>
    <x v="1"/>
    <n v="19749.38"/>
    <x v="2"/>
  </r>
  <r>
    <x v="44"/>
    <x v="0"/>
    <n v="26.6"/>
    <x v="0"/>
    <x v="0"/>
    <x v="2"/>
    <n v="21348.71"/>
    <x v="2"/>
  </r>
  <r>
    <x v="1"/>
    <x v="0"/>
    <n v="36.9"/>
    <x v="0"/>
    <x v="0"/>
    <x v="1"/>
    <n v="36149.480000000003"/>
    <x v="0"/>
  </r>
  <r>
    <x v="40"/>
    <x v="1"/>
    <n v="39.6"/>
    <x v="1"/>
    <x v="1"/>
    <x v="0"/>
    <n v="10450.549999999999"/>
    <x v="2"/>
  </r>
  <r>
    <x v="4"/>
    <x v="0"/>
    <n v="29.8"/>
    <x v="3"/>
    <x v="1"/>
    <x v="0"/>
    <n v="5152.13"/>
    <x v="1"/>
  </r>
  <r>
    <x v="7"/>
    <x v="1"/>
    <n v="29.6"/>
    <x v="0"/>
    <x v="1"/>
    <x v="2"/>
    <n v="5028.1499999999996"/>
    <x v="1"/>
  </r>
  <r>
    <x v="42"/>
    <x v="1"/>
    <n v="28.2"/>
    <x v="5"/>
    <x v="1"/>
    <x v="3"/>
    <n v="10407.09"/>
    <x v="2"/>
  </r>
  <r>
    <x v="34"/>
    <x v="0"/>
    <n v="37"/>
    <x v="4"/>
    <x v="1"/>
    <x v="0"/>
    <n v="4830.63"/>
    <x v="1"/>
  </r>
  <r>
    <x v="4"/>
    <x v="0"/>
    <n v="33.200000000000003"/>
    <x v="2"/>
    <x v="1"/>
    <x v="2"/>
    <n v="6128.8"/>
    <x v="1"/>
  </r>
  <r>
    <x v="0"/>
    <x v="0"/>
    <n v="31.8"/>
    <x v="1"/>
    <x v="1"/>
    <x v="2"/>
    <n v="2719.28"/>
    <x v="0"/>
  </r>
  <r>
    <x v="13"/>
    <x v="1"/>
    <n v="18.899999999999999"/>
    <x v="2"/>
    <x v="1"/>
    <x v="3"/>
    <n v="4827.8999999999996"/>
    <x v="1"/>
  </r>
  <r>
    <x v="18"/>
    <x v="1"/>
    <n v="41.5"/>
    <x v="0"/>
    <x v="1"/>
    <x v="1"/>
    <n v="13405.39"/>
    <x v="3"/>
  </r>
  <r>
    <x v="41"/>
    <x v="1"/>
    <n v="30.3"/>
    <x v="0"/>
    <x v="1"/>
    <x v="0"/>
    <n v="8116.68"/>
    <x v="2"/>
  </r>
  <r>
    <x v="1"/>
    <x v="1"/>
    <n v="16"/>
    <x v="0"/>
    <x v="1"/>
    <x v="3"/>
    <n v="1694.8"/>
    <x v="0"/>
  </r>
  <r>
    <x v="22"/>
    <x v="0"/>
    <n v="34.799999999999997"/>
    <x v="1"/>
    <x v="1"/>
    <x v="0"/>
    <n v="5246.05"/>
    <x v="1"/>
  </r>
  <r>
    <x v="23"/>
    <x v="0"/>
    <n v="33.299999999999997"/>
    <x v="0"/>
    <x v="1"/>
    <x v="2"/>
    <n v="2855.44"/>
    <x v="1"/>
  </r>
  <r>
    <x v="18"/>
    <x v="0"/>
    <n v="37.700000000000003"/>
    <x v="0"/>
    <x v="0"/>
    <x v="0"/>
    <n v="48824.45"/>
    <x v="3"/>
  </r>
  <r>
    <x v="25"/>
    <x v="1"/>
    <n v="27.8"/>
    <x v="3"/>
    <x v="1"/>
    <x v="2"/>
    <n v="6455.86"/>
    <x v="1"/>
  </r>
  <r>
    <x v="40"/>
    <x v="1"/>
    <n v="29.2"/>
    <x v="1"/>
    <x v="1"/>
    <x v="0"/>
    <n v="10436.1"/>
    <x v="2"/>
  </r>
  <r>
    <x v="6"/>
    <x v="0"/>
    <n v="28.9"/>
    <x v="3"/>
    <x v="1"/>
    <x v="0"/>
    <n v="8823.2800000000007"/>
    <x v="2"/>
  </r>
  <r>
    <x v="24"/>
    <x v="0"/>
    <n v="33.200000000000003"/>
    <x v="2"/>
    <x v="1"/>
    <x v="3"/>
    <n v="8538.2900000000009"/>
    <x v="2"/>
  </r>
  <r>
    <x v="30"/>
    <x v="1"/>
    <n v="28.6"/>
    <x v="0"/>
    <x v="1"/>
    <x v="2"/>
    <n v="11735.88"/>
    <x v="2"/>
  </r>
  <r>
    <x v="1"/>
    <x v="0"/>
    <n v="38.299999999999997"/>
    <x v="0"/>
    <x v="1"/>
    <x v="1"/>
    <n v="1631.82"/>
    <x v="0"/>
  </r>
  <r>
    <x v="20"/>
    <x v="1"/>
    <n v="20"/>
    <x v="2"/>
    <x v="1"/>
    <x v="3"/>
    <n v="4005.42"/>
    <x v="1"/>
  </r>
  <r>
    <x v="36"/>
    <x v="0"/>
    <n v="26.4"/>
    <x v="0"/>
    <x v="1"/>
    <x v="2"/>
    <n v="7419.48"/>
    <x v="2"/>
  </r>
  <r>
    <x v="36"/>
    <x v="1"/>
    <n v="30.7"/>
    <x v="3"/>
    <x v="1"/>
    <x v="1"/>
    <n v="7731.43"/>
    <x v="2"/>
  </r>
  <r>
    <x v="26"/>
    <x v="1"/>
    <n v="41.9"/>
    <x v="2"/>
    <x v="0"/>
    <x v="3"/>
    <n v="43753.34"/>
    <x v="1"/>
  </r>
  <r>
    <x v="21"/>
    <x v="0"/>
    <n v="29.9"/>
    <x v="3"/>
    <x v="1"/>
    <x v="1"/>
    <n v="3981.98"/>
    <x v="1"/>
  </r>
  <r>
    <x v="15"/>
    <x v="0"/>
    <n v="30.9"/>
    <x v="2"/>
    <x v="1"/>
    <x v="0"/>
    <n v="5325.65"/>
    <x v="1"/>
  </r>
  <r>
    <x v="24"/>
    <x v="0"/>
    <n v="32.200000000000003"/>
    <x v="1"/>
    <x v="1"/>
    <x v="0"/>
    <n v="6775.96"/>
    <x v="2"/>
  </r>
  <r>
    <x v="38"/>
    <x v="0"/>
    <n v="32.1"/>
    <x v="3"/>
    <x v="1"/>
    <x v="2"/>
    <n v="4922.92"/>
    <x v="1"/>
  </r>
  <r>
    <x v="35"/>
    <x v="1"/>
    <n v="31.6"/>
    <x v="0"/>
    <x v="1"/>
    <x v="1"/>
    <n v="12557.61"/>
    <x v="3"/>
  </r>
  <r>
    <x v="26"/>
    <x v="0"/>
    <n v="26.2"/>
    <x v="0"/>
    <x v="1"/>
    <x v="0"/>
    <n v="4883.87"/>
    <x v="1"/>
  </r>
  <r>
    <x v="9"/>
    <x v="1"/>
    <n v="25.7"/>
    <x v="0"/>
    <x v="1"/>
    <x v="1"/>
    <n v="2137.65"/>
    <x v="1"/>
  </r>
  <r>
    <x v="12"/>
    <x v="0"/>
    <n v="26.6"/>
    <x v="1"/>
    <x v="1"/>
    <x v="2"/>
    <n v="12044.34"/>
    <x v="2"/>
  </r>
  <r>
    <x v="1"/>
    <x v="1"/>
    <n v="34.4"/>
    <x v="0"/>
    <x v="1"/>
    <x v="1"/>
    <n v="1137.47"/>
    <x v="0"/>
  </r>
  <r>
    <x v="0"/>
    <x v="1"/>
    <n v="30.6"/>
    <x v="0"/>
    <x v="1"/>
    <x v="2"/>
    <n v="1639.56"/>
    <x v="0"/>
  </r>
  <r>
    <x v="46"/>
    <x v="0"/>
    <n v="32.799999999999997"/>
    <x v="0"/>
    <x v="1"/>
    <x v="0"/>
    <n v="5649.72"/>
    <x v="1"/>
  </r>
  <r>
    <x v="39"/>
    <x v="0"/>
    <n v="28.6"/>
    <x v="3"/>
    <x v="1"/>
    <x v="1"/>
    <n v="8516.83"/>
    <x v="2"/>
  </r>
  <r>
    <x v="43"/>
    <x v="0"/>
    <n v="18.100000000000001"/>
    <x v="0"/>
    <x v="1"/>
    <x v="2"/>
    <n v="9644.25"/>
    <x v="2"/>
  </r>
  <r>
    <x v="33"/>
    <x v="0"/>
    <n v="39.299999999999997"/>
    <x v="0"/>
    <x v="1"/>
    <x v="3"/>
    <n v="14901.52"/>
    <x v="3"/>
  </r>
  <r>
    <x v="0"/>
    <x v="0"/>
    <n v="32.1"/>
    <x v="0"/>
    <x v="1"/>
    <x v="2"/>
    <n v="2130.6799999999998"/>
    <x v="0"/>
  </r>
  <r>
    <x v="28"/>
    <x v="0"/>
    <n v="32.200000000000003"/>
    <x v="1"/>
    <x v="1"/>
    <x v="1"/>
    <n v="8871.15"/>
    <x v="2"/>
  </r>
  <r>
    <x v="8"/>
    <x v="0"/>
    <n v="24"/>
    <x v="0"/>
    <x v="1"/>
    <x v="2"/>
    <n v="13012.21"/>
    <x v="3"/>
  </r>
  <r>
    <x v="13"/>
    <x v="0"/>
    <n v="36.1"/>
    <x v="0"/>
    <x v="0"/>
    <x v="1"/>
    <n v="37133.9"/>
    <x v="1"/>
  </r>
  <r>
    <x v="6"/>
    <x v="1"/>
    <n v="22.3"/>
    <x v="0"/>
    <x v="1"/>
    <x v="0"/>
    <n v="7147.11"/>
    <x v="2"/>
  </r>
  <r>
    <x v="2"/>
    <x v="0"/>
    <n v="28.9"/>
    <x v="1"/>
    <x v="1"/>
    <x v="3"/>
    <n v="4337.74"/>
    <x v="1"/>
  </r>
  <r>
    <x v="17"/>
    <x v="1"/>
    <n v="26.4"/>
    <x v="0"/>
    <x v="1"/>
    <x v="1"/>
    <n v="11743.3"/>
    <x v="2"/>
  </r>
  <r>
    <x v="22"/>
    <x v="1"/>
    <n v="27.7"/>
    <x v="3"/>
    <x v="0"/>
    <x v="3"/>
    <n v="20984.09"/>
    <x v="1"/>
  </r>
  <r>
    <x v="18"/>
    <x v="0"/>
    <n v="31.8"/>
    <x v="0"/>
    <x v="1"/>
    <x v="0"/>
    <n v="13880.95"/>
    <x v="3"/>
  </r>
  <r>
    <x v="29"/>
    <x v="1"/>
    <n v="41.2"/>
    <x v="1"/>
    <x v="1"/>
    <x v="3"/>
    <n v="6610.11"/>
    <x v="2"/>
  </r>
  <r>
    <x v="34"/>
    <x v="1"/>
    <n v="33"/>
    <x v="1"/>
    <x v="1"/>
    <x v="0"/>
    <n v="1980.07"/>
    <x v="1"/>
  </r>
  <r>
    <x v="29"/>
    <x v="1"/>
    <n v="30.9"/>
    <x v="5"/>
    <x v="1"/>
    <x v="2"/>
    <n v="8162.72"/>
    <x v="2"/>
  </r>
  <r>
    <x v="23"/>
    <x v="1"/>
    <n v="28.5"/>
    <x v="3"/>
    <x v="1"/>
    <x v="2"/>
    <n v="3537.7"/>
    <x v="1"/>
  </r>
  <r>
    <x v="16"/>
    <x v="0"/>
    <n v="26.7"/>
    <x v="1"/>
    <x v="1"/>
    <x v="1"/>
    <n v="5002.78"/>
    <x v="1"/>
  </r>
  <r>
    <x v="39"/>
    <x v="0"/>
    <n v="30.9"/>
    <x v="3"/>
    <x v="1"/>
    <x v="0"/>
    <n v="8520.0300000000007"/>
    <x v="2"/>
  </r>
  <r>
    <x v="24"/>
    <x v="0"/>
    <n v="37.1"/>
    <x v="3"/>
    <x v="1"/>
    <x v="0"/>
    <n v="7371.77"/>
    <x v="2"/>
  </r>
  <r>
    <x v="31"/>
    <x v="0"/>
    <n v="26.6"/>
    <x v="0"/>
    <x v="1"/>
    <x v="2"/>
    <n v="10355.64"/>
    <x v="2"/>
  </r>
  <r>
    <x v="13"/>
    <x v="1"/>
    <n v="23.1"/>
    <x v="0"/>
    <x v="1"/>
    <x v="1"/>
    <n v="2483.7399999999998"/>
    <x v="1"/>
  </r>
  <r>
    <x v="21"/>
    <x v="0"/>
    <n v="29.9"/>
    <x v="1"/>
    <x v="1"/>
    <x v="1"/>
    <n v="3392.98"/>
    <x v="1"/>
  </r>
  <r>
    <x v="23"/>
    <x v="0"/>
    <n v="23.2"/>
    <x v="0"/>
    <x v="1"/>
    <x v="1"/>
    <n v="25081.77"/>
    <x v="1"/>
  </r>
  <r>
    <x v="16"/>
    <x v="0"/>
    <n v="33.700000000000003"/>
    <x v="1"/>
    <x v="1"/>
    <x v="0"/>
    <n v="5012.47"/>
    <x v="1"/>
  </r>
  <r>
    <x v="31"/>
    <x v="0"/>
    <n v="33.299999999999997"/>
    <x v="0"/>
    <x v="1"/>
    <x v="3"/>
    <n v="10564.88"/>
    <x v="2"/>
  </r>
  <r>
    <x v="4"/>
    <x v="1"/>
    <n v="30.8"/>
    <x v="2"/>
    <x v="1"/>
    <x v="0"/>
    <n v="5253.52"/>
    <x v="1"/>
  </r>
  <r>
    <x v="0"/>
    <x v="1"/>
    <n v="34.799999999999997"/>
    <x v="0"/>
    <x v="0"/>
    <x v="0"/>
    <n v="34779.620000000003"/>
    <x v="0"/>
  </r>
  <r>
    <x v="44"/>
    <x v="1"/>
    <n v="24.6"/>
    <x v="0"/>
    <x v="0"/>
    <x v="1"/>
    <n v="19515.54"/>
    <x v="2"/>
  </r>
  <r>
    <x v="19"/>
    <x v="1"/>
    <n v="33.9"/>
    <x v="2"/>
    <x v="1"/>
    <x v="1"/>
    <n v="11987.17"/>
    <x v="2"/>
  </r>
  <r>
    <x v="2"/>
    <x v="1"/>
    <n v="38.1"/>
    <x v="0"/>
    <x v="1"/>
    <x v="1"/>
    <n v="2689.5"/>
    <x v="1"/>
  </r>
  <r>
    <x v="30"/>
    <x v="0"/>
    <n v="41.9"/>
    <x v="0"/>
    <x v="1"/>
    <x v="1"/>
    <n v="24227.34"/>
    <x v="2"/>
  </r>
  <r>
    <x v="24"/>
    <x v="0"/>
    <n v="31.6"/>
    <x v="1"/>
    <x v="1"/>
    <x v="3"/>
    <n v="7358.18"/>
    <x v="2"/>
  </r>
  <r>
    <x v="42"/>
    <x v="1"/>
    <n v="25.5"/>
    <x v="3"/>
    <x v="1"/>
    <x v="3"/>
    <n v="9225.26"/>
    <x v="2"/>
  </r>
  <r>
    <x v="44"/>
    <x v="0"/>
    <n v="36.200000000000003"/>
    <x v="1"/>
    <x v="1"/>
    <x v="2"/>
    <n v="7443.64"/>
    <x v="2"/>
  </r>
  <r>
    <x v="17"/>
    <x v="0"/>
    <n v="27.8"/>
    <x v="2"/>
    <x v="1"/>
    <x v="1"/>
    <n v="14001.29"/>
    <x v="2"/>
  </r>
  <r>
    <x v="0"/>
    <x v="0"/>
    <n v="17.8"/>
    <x v="0"/>
    <x v="1"/>
    <x v="0"/>
    <n v="1727.79"/>
    <x v="0"/>
  </r>
  <r>
    <x v="17"/>
    <x v="1"/>
    <n v="27.5"/>
    <x v="1"/>
    <x v="1"/>
    <x v="0"/>
    <n v="12333.83"/>
    <x v="2"/>
  </r>
  <r>
    <x v="46"/>
    <x v="1"/>
    <n v="24.5"/>
    <x v="3"/>
    <x v="1"/>
    <x v="2"/>
    <n v="6710.19"/>
    <x v="1"/>
  </r>
  <r>
    <x v="29"/>
    <x v="0"/>
    <n v="22.2"/>
    <x v="3"/>
    <x v="0"/>
    <x v="1"/>
    <n v="19444.27"/>
    <x v="2"/>
  </r>
  <r>
    <x v="1"/>
    <x v="0"/>
    <n v="26.7"/>
    <x v="0"/>
    <x v="1"/>
    <x v="1"/>
    <n v="1615.77"/>
    <x v="0"/>
  </r>
  <r>
    <x v="5"/>
    <x v="1"/>
    <n v="38.4"/>
    <x v="3"/>
    <x v="1"/>
    <x v="1"/>
    <n v="4463.21"/>
    <x v="1"/>
  </r>
  <r>
    <x v="0"/>
    <x v="1"/>
    <n v="29.1"/>
    <x v="0"/>
    <x v="0"/>
    <x v="2"/>
    <n v="17352.68"/>
    <x v="0"/>
  </r>
  <r>
    <x v="36"/>
    <x v="1"/>
    <n v="38.1"/>
    <x v="1"/>
    <x v="1"/>
    <x v="1"/>
    <n v="7152.67"/>
    <x v="2"/>
  </r>
  <r>
    <x v="11"/>
    <x v="0"/>
    <n v="36.700000000000003"/>
    <x v="3"/>
    <x v="0"/>
    <x v="3"/>
    <n v="38511.629999999997"/>
    <x v="1"/>
  </r>
  <r>
    <x v="3"/>
    <x v="0"/>
    <n v="22.1"/>
    <x v="1"/>
    <x v="1"/>
    <x v="3"/>
    <n v="5354.07"/>
    <x v="1"/>
  </r>
  <r>
    <x v="19"/>
    <x v="0"/>
    <n v="26.8"/>
    <x v="1"/>
    <x v="1"/>
    <x v="0"/>
    <n v="35160.129999999997"/>
    <x v="2"/>
  </r>
  <r>
    <x v="29"/>
    <x v="1"/>
    <n v="35.299999999999997"/>
    <x v="2"/>
    <x v="1"/>
    <x v="0"/>
    <n v="7196.87"/>
    <x v="2"/>
  </r>
  <r>
    <x v="18"/>
    <x v="0"/>
    <n v="27.7"/>
    <x v="0"/>
    <x v="0"/>
    <x v="3"/>
    <n v="29523.17"/>
    <x v="3"/>
  </r>
  <r>
    <x v="40"/>
    <x v="1"/>
    <n v="30"/>
    <x v="0"/>
    <x v="1"/>
    <x v="2"/>
    <n v="24476.48"/>
    <x v="2"/>
  </r>
  <r>
    <x v="8"/>
    <x v="0"/>
    <n v="38.1"/>
    <x v="0"/>
    <x v="1"/>
    <x v="1"/>
    <n v="12648.7"/>
    <x v="3"/>
  </r>
  <r>
    <x v="23"/>
    <x v="1"/>
    <n v="35.9"/>
    <x v="0"/>
    <x v="1"/>
    <x v="1"/>
    <n v="1986.93"/>
    <x v="1"/>
  </r>
  <r>
    <x v="0"/>
    <x v="1"/>
    <n v="20.9"/>
    <x v="1"/>
    <x v="1"/>
    <x v="0"/>
    <n v="1832.09"/>
    <x v="0"/>
  </r>
  <r>
    <x v="38"/>
    <x v="1"/>
    <n v="29"/>
    <x v="1"/>
    <x v="1"/>
    <x v="3"/>
    <n v="4040.56"/>
    <x v="1"/>
  </r>
  <r>
    <x v="1"/>
    <x v="1"/>
    <n v="17.3"/>
    <x v="3"/>
    <x v="0"/>
    <x v="3"/>
    <n v="12829.46"/>
    <x v="0"/>
  </r>
  <r>
    <x v="18"/>
    <x v="0"/>
    <n v="32.200000000000003"/>
    <x v="3"/>
    <x v="0"/>
    <x v="0"/>
    <n v="47305.31"/>
    <x v="3"/>
  </r>
  <r>
    <x v="40"/>
    <x v="1"/>
    <n v="34.200000000000003"/>
    <x v="3"/>
    <x v="0"/>
    <x v="1"/>
    <n v="44260.75"/>
    <x v="2"/>
  </r>
  <r>
    <x v="13"/>
    <x v="1"/>
    <n v="30.3"/>
    <x v="2"/>
    <x v="1"/>
    <x v="0"/>
    <n v="4260.74"/>
    <x v="1"/>
  </r>
  <r>
    <x v="45"/>
    <x v="1"/>
    <n v="31.8"/>
    <x v="0"/>
    <x v="0"/>
    <x v="3"/>
    <n v="41097.160000000003"/>
    <x v="2"/>
  </r>
  <r>
    <x v="19"/>
    <x v="0"/>
    <n v="25.4"/>
    <x v="2"/>
    <x v="1"/>
    <x v="3"/>
    <n v="13047.33"/>
    <x v="2"/>
  </r>
  <r>
    <x v="12"/>
    <x v="1"/>
    <n v="33.6"/>
    <x v="0"/>
    <x v="0"/>
    <x v="2"/>
    <n v="43921.18"/>
    <x v="2"/>
  </r>
  <r>
    <x v="25"/>
    <x v="0"/>
    <n v="40.200000000000003"/>
    <x v="0"/>
    <x v="1"/>
    <x v="1"/>
    <n v="5400.98"/>
    <x v="1"/>
  </r>
  <r>
    <x v="43"/>
    <x v="1"/>
    <n v="24.4"/>
    <x v="5"/>
    <x v="1"/>
    <x v="2"/>
    <n v="11520.1"/>
    <x v="2"/>
  </r>
  <r>
    <x v="0"/>
    <x v="1"/>
    <n v="31.9"/>
    <x v="0"/>
    <x v="0"/>
    <x v="2"/>
    <n v="33750.29"/>
    <x v="0"/>
  </r>
  <r>
    <x v="30"/>
    <x v="0"/>
    <n v="25.2"/>
    <x v="0"/>
    <x v="1"/>
    <x v="0"/>
    <n v="11837.16"/>
    <x v="2"/>
  </r>
  <r>
    <x v="34"/>
    <x v="0"/>
    <n v="26.8"/>
    <x v="1"/>
    <x v="0"/>
    <x v="1"/>
    <n v="17085.27"/>
    <x v="1"/>
  </r>
  <r>
    <x v="14"/>
    <x v="1"/>
    <n v="24.3"/>
    <x v="2"/>
    <x v="0"/>
    <x v="3"/>
    <n v="24869.84"/>
    <x v="2"/>
  </r>
  <r>
    <x v="0"/>
    <x v="1"/>
    <n v="37"/>
    <x v="0"/>
    <x v="0"/>
    <x v="2"/>
    <n v="36219.410000000003"/>
    <x v="0"/>
  </r>
  <r>
    <x v="31"/>
    <x v="0"/>
    <n v="38.1"/>
    <x v="2"/>
    <x v="1"/>
    <x v="1"/>
    <n v="20463"/>
    <x v="2"/>
  </r>
  <r>
    <x v="6"/>
    <x v="1"/>
    <n v="42.4"/>
    <x v="2"/>
    <x v="0"/>
    <x v="1"/>
    <n v="46151.12"/>
    <x v="2"/>
  </r>
  <r>
    <x v="29"/>
    <x v="1"/>
    <n v="19.8"/>
    <x v="1"/>
    <x v="0"/>
    <x v="1"/>
    <n v="17179.52"/>
    <x v="2"/>
  </r>
  <r>
    <x v="17"/>
    <x v="0"/>
    <n v="32.4"/>
    <x v="2"/>
    <x v="1"/>
    <x v="3"/>
    <n v="14590.63"/>
    <x v="2"/>
  </r>
  <r>
    <x v="39"/>
    <x v="1"/>
    <n v="30.2"/>
    <x v="1"/>
    <x v="1"/>
    <x v="0"/>
    <n v="7441.05"/>
    <x v="2"/>
  </r>
  <r>
    <x v="41"/>
    <x v="1"/>
    <n v="25.8"/>
    <x v="1"/>
    <x v="1"/>
    <x v="3"/>
    <n v="9282.48"/>
    <x v="2"/>
  </r>
  <r>
    <x v="1"/>
    <x v="1"/>
    <n v="29.4"/>
    <x v="1"/>
    <x v="1"/>
    <x v="1"/>
    <n v="1719.44"/>
    <x v="0"/>
  </r>
  <r>
    <x v="45"/>
    <x v="1"/>
    <n v="34.200000000000003"/>
    <x v="3"/>
    <x v="0"/>
    <x v="0"/>
    <n v="42856.84"/>
    <x v="2"/>
  </r>
  <r>
    <x v="24"/>
    <x v="1"/>
    <n v="37.1"/>
    <x v="3"/>
    <x v="1"/>
    <x v="2"/>
    <n v="7265.7"/>
    <x v="2"/>
  </r>
  <r>
    <x v="45"/>
    <x v="1"/>
    <n v="27.5"/>
    <x v="1"/>
    <x v="1"/>
    <x v="3"/>
    <n v="9617.66"/>
    <x v="2"/>
  </r>
  <r>
    <x v="9"/>
    <x v="1"/>
    <n v="27.6"/>
    <x v="0"/>
    <x v="1"/>
    <x v="2"/>
    <n v="2523.17"/>
    <x v="1"/>
  </r>
  <r>
    <x v="42"/>
    <x v="0"/>
    <n v="26.6"/>
    <x v="3"/>
    <x v="1"/>
    <x v="3"/>
    <n v="9715.84"/>
    <x v="2"/>
  </r>
  <r>
    <x v="0"/>
    <x v="1"/>
    <n v="20.6"/>
    <x v="3"/>
    <x v="1"/>
    <x v="2"/>
    <n v="2803.7"/>
    <x v="0"/>
  </r>
  <r>
    <x v="20"/>
    <x v="0"/>
    <n v="24.3"/>
    <x v="0"/>
    <x v="1"/>
    <x v="0"/>
    <n v="2150.4699999999998"/>
    <x v="1"/>
  </r>
  <r>
    <x v="17"/>
    <x v="1"/>
    <n v="31.8"/>
    <x v="3"/>
    <x v="1"/>
    <x v="1"/>
    <n v="12928.79"/>
    <x v="2"/>
  </r>
  <r>
    <x v="43"/>
    <x v="0"/>
    <n v="21.6"/>
    <x v="1"/>
    <x v="1"/>
    <x v="1"/>
    <n v="9855.1299999999992"/>
    <x v="2"/>
  </r>
  <r>
    <x v="29"/>
    <x v="0"/>
    <n v="28.1"/>
    <x v="1"/>
    <x v="0"/>
    <x v="3"/>
    <n v="22331.57"/>
    <x v="2"/>
  </r>
  <r>
    <x v="40"/>
    <x v="1"/>
    <n v="40.6"/>
    <x v="2"/>
    <x v="0"/>
    <x v="3"/>
    <n v="48549.18"/>
    <x v="2"/>
  </r>
  <r>
    <x v="15"/>
    <x v="1"/>
    <n v="27.6"/>
    <x v="1"/>
    <x v="1"/>
    <x v="3"/>
    <n v="4237.13"/>
    <x v="1"/>
  </r>
  <r>
    <x v="19"/>
    <x v="0"/>
    <n v="32.4"/>
    <x v="1"/>
    <x v="1"/>
    <x v="3"/>
    <n v="11879.1"/>
    <x v="2"/>
  </r>
  <r>
    <x v="14"/>
    <x v="0"/>
    <n v="31.2"/>
    <x v="0"/>
    <x v="1"/>
    <x v="0"/>
    <n v="9625.92"/>
    <x v="2"/>
  </r>
  <r>
    <x v="6"/>
    <x v="1"/>
    <n v="26.6"/>
    <x v="1"/>
    <x v="1"/>
    <x v="1"/>
    <n v="7742.11"/>
    <x v="2"/>
  </r>
  <r>
    <x v="6"/>
    <x v="0"/>
    <n v="48.1"/>
    <x v="3"/>
    <x v="1"/>
    <x v="3"/>
    <n v="9432.93"/>
    <x v="2"/>
  </r>
  <r>
    <x v="18"/>
    <x v="0"/>
    <n v="26.2"/>
    <x v="0"/>
    <x v="1"/>
    <x v="2"/>
    <n v="14256.19"/>
    <x v="3"/>
  </r>
  <r>
    <x v="17"/>
    <x v="0"/>
    <n v="36.799999999999997"/>
    <x v="1"/>
    <x v="0"/>
    <x v="3"/>
    <n v="47896.79"/>
    <x v="2"/>
  </r>
  <r>
    <x v="14"/>
    <x v="1"/>
    <n v="26.4"/>
    <x v="2"/>
    <x v="1"/>
    <x v="1"/>
    <n v="25992.82"/>
    <x v="2"/>
  </r>
  <r>
    <x v="2"/>
    <x v="0"/>
    <n v="33.4"/>
    <x v="0"/>
    <x v="1"/>
    <x v="0"/>
    <n v="3172.02"/>
    <x v="1"/>
  </r>
  <r>
    <x v="38"/>
    <x v="1"/>
    <n v="29.6"/>
    <x v="1"/>
    <x v="1"/>
    <x v="3"/>
    <n v="20277.810000000001"/>
    <x v="1"/>
  </r>
  <r>
    <x v="9"/>
    <x v="1"/>
    <n v="45.5"/>
    <x v="3"/>
    <x v="0"/>
    <x v="1"/>
    <n v="42112.24"/>
    <x v="1"/>
  </r>
  <r>
    <x v="20"/>
    <x v="0"/>
    <n v="28.8"/>
    <x v="0"/>
    <x v="1"/>
    <x v="1"/>
    <n v="2156.75"/>
    <x v="1"/>
  </r>
  <r>
    <x v="9"/>
    <x v="1"/>
    <n v="26.8"/>
    <x v="2"/>
    <x v="1"/>
    <x v="0"/>
    <n v="3906.13"/>
    <x v="1"/>
  </r>
  <r>
    <x v="1"/>
    <x v="1"/>
    <n v="23"/>
    <x v="0"/>
    <x v="1"/>
    <x v="3"/>
    <n v="1704.57"/>
    <x v="0"/>
  </r>
  <r>
    <x v="0"/>
    <x v="1"/>
    <n v="27.7"/>
    <x v="0"/>
    <x v="0"/>
    <x v="0"/>
    <n v="16297.85"/>
    <x v="0"/>
  </r>
  <r>
    <x v="42"/>
    <x v="1"/>
    <n v="25.4"/>
    <x v="1"/>
    <x v="0"/>
    <x v="1"/>
    <n v="21978.68"/>
    <x v="2"/>
  </r>
  <r>
    <x v="5"/>
    <x v="1"/>
    <n v="34.4"/>
    <x v="2"/>
    <x v="0"/>
    <x v="2"/>
    <n v="38746.36"/>
    <x v="1"/>
  </r>
  <r>
    <x v="28"/>
    <x v="0"/>
    <n v="28.9"/>
    <x v="1"/>
    <x v="1"/>
    <x v="2"/>
    <n v="9249.5"/>
    <x v="2"/>
  </r>
  <r>
    <x v="26"/>
    <x v="1"/>
    <n v="27.6"/>
    <x v="2"/>
    <x v="1"/>
    <x v="3"/>
    <n v="6746.74"/>
    <x v="1"/>
  </r>
  <r>
    <x v="31"/>
    <x v="0"/>
    <n v="22.6"/>
    <x v="2"/>
    <x v="0"/>
    <x v="3"/>
    <n v="24873.38"/>
    <x v="2"/>
  </r>
  <r>
    <x v="12"/>
    <x v="0"/>
    <n v="37.5"/>
    <x v="3"/>
    <x v="1"/>
    <x v="1"/>
    <n v="12265.51"/>
    <x v="2"/>
  </r>
  <r>
    <x v="2"/>
    <x v="0"/>
    <n v="33"/>
    <x v="3"/>
    <x v="1"/>
    <x v="1"/>
    <n v="4349.46"/>
    <x v="1"/>
  </r>
  <r>
    <x v="37"/>
    <x v="0"/>
    <n v="38"/>
    <x v="3"/>
    <x v="1"/>
    <x v="0"/>
    <n v="12646.21"/>
    <x v="2"/>
  </r>
  <r>
    <x v="38"/>
    <x v="1"/>
    <n v="33.299999999999997"/>
    <x v="3"/>
    <x v="1"/>
    <x v="2"/>
    <n v="19442.349999999999"/>
    <x v="1"/>
  </r>
  <r>
    <x v="2"/>
    <x v="0"/>
    <n v="27.5"/>
    <x v="3"/>
    <x v="1"/>
    <x v="0"/>
    <n v="20177.669999999998"/>
    <x v="1"/>
  </r>
  <r>
    <x v="15"/>
    <x v="0"/>
    <n v="33.299999999999997"/>
    <x v="1"/>
    <x v="1"/>
    <x v="1"/>
    <n v="4151.03"/>
    <x v="1"/>
  </r>
  <r>
    <x v="30"/>
    <x v="1"/>
    <n v="34.9"/>
    <x v="0"/>
    <x v="1"/>
    <x v="3"/>
    <n v="11944.59"/>
    <x v="2"/>
  </r>
  <r>
    <x v="24"/>
    <x v="0"/>
    <n v="33.1"/>
    <x v="3"/>
    <x v="1"/>
    <x v="2"/>
    <n v="7749.16"/>
    <x v="2"/>
  </r>
  <r>
    <x v="45"/>
    <x v="1"/>
    <n v="26.6"/>
    <x v="0"/>
    <x v="1"/>
    <x v="0"/>
    <n v="8444.4699999999993"/>
    <x v="2"/>
  </r>
  <r>
    <x v="0"/>
    <x v="0"/>
    <n v="24.7"/>
    <x v="0"/>
    <x v="1"/>
    <x v="0"/>
    <n v="1737.38"/>
    <x v="0"/>
  </r>
  <r>
    <x v="32"/>
    <x v="1"/>
    <n v="36"/>
    <x v="2"/>
    <x v="0"/>
    <x v="1"/>
    <n v="42124.52"/>
    <x v="2"/>
  </r>
  <r>
    <x v="41"/>
    <x v="1"/>
    <n v="35.9"/>
    <x v="0"/>
    <x v="1"/>
    <x v="1"/>
    <n v="8124.41"/>
    <x v="2"/>
  </r>
  <r>
    <x v="13"/>
    <x v="0"/>
    <n v="31.4"/>
    <x v="0"/>
    <x v="0"/>
    <x v="0"/>
    <n v="34838.870000000003"/>
    <x v="1"/>
  </r>
  <r>
    <x v="14"/>
    <x v="1"/>
    <n v="33.299999999999997"/>
    <x v="0"/>
    <x v="1"/>
    <x v="3"/>
    <n v="9722.77"/>
    <x v="2"/>
  </r>
  <r>
    <x v="45"/>
    <x v="1"/>
    <n v="32.200000000000003"/>
    <x v="0"/>
    <x v="1"/>
    <x v="2"/>
    <n v="8835.26"/>
    <x v="2"/>
  </r>
  <r>
    <x v="40"/>
    <x v="1"/>
    <n v="32.799999999999997"/>
    <x v="0"/>
    <x v="1"/>
    <x v="3"/>
    <n v="10435.07"/>
    <x v="2"/>
  </r>
  <r>
    <x v="36"/>
    <x v="0"/>
    <n v="27.6"/>
    <x v="0"/>
    <x v="1"/>
    <x v="2"/>
    <n v="7421.19"/>
    <x v="2"/>
  </r>
  <r>
    <x v="4"/>
    <x v="1"/>
    <n v="37.299999999999997"/>
    <x v="1"/>
    <x v="1"/>
    <x v="3"/>
    <n v="4667.6099999999997"/>
    <x v="1"/>
  </r>
  <r>
    <x v="16"/>
    <x v="1"/>
    <n v="25.3"/>
    <x v="1"/>
    <x v="1"/>
    <x v="2"/>
    <n v="4894.75"/>
    <x v="1"/>
  </r>
  <r>
    <x v="21"/>
    <x v="0"/>
    <n v="29.6"/>
    <x v="5"/>
    <x v="1"/>
    <x v="3"/>
    <n v="24671.66"/>
    <x v="1"/>
  </r>
  <r>
    <x v="16"/>
    <x v="1"/>
    <n v="30.8"/>
    <x v="0"/>
    <x v="0"/>
    <x v="0"/>
    <n v="35491.64"/>
    <x v="1"/>
  </r>
  <r>
    <x v="37"/>
    <x v="1"/>
    <n v="40.9"/>
    <x v="0"/>
    <x v="1"/>
    <x v="3"/>
    <n v="11566.3"/>
    <x v="2"/>
  </r>
  <r>
    <x v="38"/>
    <x v="1"/>
    <n v="27.2"/>
    <x v="0"/>
    <x v="1"/>
    <x v="0"/>
    <n v="2866.09"/>
    <x v="1"/>
  </r>
  <r>
    <x v="29"/>
    <x v="1"/>
    <n v="34.1"/>
    <x v="1"/>
    <x v="1"/>
    <x v="3"/>
    <n v="6600.21"/>
    <x v="2"/>
  </r>
  <r>
    <x v="13"/>
    <x v="0"/>
    <n v="23.2"/>
    <x v="1"/>
    <x v="1"/>
    <x v="1"/>
    <n v="3561.89"/>
    <x v="1"/>
  </r>
  <r>
    <x v="39"/>
    <x v="1"/>
    <n v="36.5"/>
    <x v="3"/>
    <x v="0"/>
    <x v="2"/>
    <n v="42760.5"/>
    <x v="2"/>
  </r>
  <r>
    <x v="33"/>
    <x v="0"/>
    <n v="33.799999999999997"/>
    <x v="1"/>
    <x v="0"/>
    <x v="0"/>
    <n v="47928.03"/>
    <x v="3"/>
  </r>
  <r>
    <x v="14"/>
    <x v="1"/>
    <n v="36.700000000000003"/>
    <x v="0"/>
    <x v="1"/>
    <x v="0"/>
    <n v="9144.57"/>
    <x v="2"/>
  </r>
  <r>
    <x v="35"/>
    <x v="0"/>
    <n v="36.4"/>
    <x v="1"/>
    <x v="0"/>
    <x v="3"/>
    <n v="48517.56"/>
    <x v="3"/>
  </r>
  <r>
    <x v="14"/>
    <x v="1"/>
    <n v="27.4"/>
    <x v="0"/>
    <x v="0"/>
    <x v="2"/>
    <n v="24393.62"/>
    <x v="2"/>
  </r>
  <r>
    <x v="35"/>
    <x v="0"/>
    <n v="31.2"/>
    <x v="0"/>
    <x v="1"/>
    <x v="2"/>
    <n v="13429.04"/>
    <x v="3"/>
  </r>
  <r>
    <x v="12"/>
    <x v="0"/>
    <n v="28.8"/>
    <x v="0"/>
    <x v="1"/>
    <x v="3"/>
    <n v="11658.38"/>
    <x v="2"/>
  </r>
  <r>
    <x v="32"/>
    <x v="0"/>
    <n v="35.700000000000003"/>
    <x v="3"/>
    <x v="1"/>
    <x v="3"/>
    <n v="19144.580000000002"/>
    <x v="2"/>
  </r>
  <r>
    <x v="33"/>
    <x v="1"/>
    <n v="34.5"/>
    <x v="0"/>
    <x v="1"/>
    <x v="0"/>
    <n v="13822.8"/>
    <x v="3"/>
  </r>
  <r>
    <x v="8"/>
    <x v="1"/>
    <n v="25.7"/>
    <x v="0"/>
    <x v="1"/>
    <x v="1"/>
    <n v="12142.58"/>
    <x v="3"/>
  </r>
  <r>
    <x v="10"/>
    <x v="1"/>
    <n v="27.6"/>
    <x v="1"/>
    <x v="1"/>
    <x v="2"/>
    <n v="13937.67"/>
    <x v="3"/>
  </r>
  <r>
    <x v="45"/>
    <x v="1"/>
    <n v="32.299999999999997"/>
    <x v="1"/>
    <x v="0"/>
    <x v="3"/>
    <n v="41919.1"/>
    <x v="2"/>
  </r>
  <r>
    <x v="6"/>
    <x v="0"/>
    <n v="27.7"/>
    <x v="1"/>
    <x v="1"/>
    <x v="1"/>
    <n v="8232.64"/>
    <x v="2"/>
  </r>
  <r>
    <x v="23"/>
    <x v="0"/>
    <n v="27.6"/>
    <x v="0"/>
    <x v="1"/>
    <x v="0"/>
    <n v="18955.22"/>
    <x v="1"/>
  </r>
  <r>
    <x v="10"/>
    <x v="1"/>
    <n v="30"/>
    <x v="0"/>
    <x v="1"/>
    <x v="2"/>
    <n v="13352.1"/>
    <x v="3"/>
  </r>
  <r>
    <x v="8"/>
    <x v="0"/>
    <n v="27.6"/>
    <x v="0"/>
    <x v="1"/>
    <x v="3"/>
    <n v="13217.09"/>
    <x v="3"/>
  </r>
  <r>
    <x v="18"/>
    <x v="1"/>
    <n v="36.799999999999997"/>
    <x v="0"/>
    <x v="1"/>
    <x v="3"/>
    <n v="13981.85"/>
    <x v="3"/>
  </r>
  <r>
    <x v="41"/>
    <x v="0"/>
    <n v="41.5"/>
    <x v="5"/>
    <x v="1"/>
    <x v="1"/>
    <n v="10977.21"/>
    <x v="2"/>
  </r>
  <r>
    <x v="16"/>
    <x v="0"/>
    <n v="29.3"/>
    <x v="2"/>
    <x v="1"/>
    <x v="1"/>
    <n v="6184.3"/>
    <x v="1"/>
  </r>
  <r>
    <x v="3"/>
    <x v="1"/>
    <n v="35.799999999999997"/>
    <x v="3"/>
    <x v="1"/>
    <x v="1"/>
    <n v="4890"/>
    <x v="1"/>
  </r>
  <r>
    <x v="6"/>
    <x v="1"/>
    <n v="33.299999999999997"/>
    <x v="1"/>
    <x v="1"/>
    <x v="3"/>
    <n v="8334.4599999999991"/>
    <x v="2"/>
  </r>
  <r>
    <x v="26"/>
    <x v="0"/>
    <n v="29.9"/>
    <x v="1"/>
    <x v="1"/>
    <x v="1"/>
    <n v="5478.04"/>
    <x v="1"/>
  </r>
  <r>
    <x v="0"/>
    <x v="1"/>
    <n v="27.8"/>
    <x v="0"/>
    <x v="1"/>
    <x v="2"/>
    <n v="1635.73"/>
    <x v="0"/>
  </r>
  <r>
    <x v="37"/>
    <x v="0"/>
    <n v="23.2"/>
    <x v="0"/>
    <x v="1"/>
    <x v="2"/>
    <n v="11830.61"/>
    <x v="2"/>
  </r>
  <r>
    <x v="45"/>
    <x v="0"/>
    <n v="25.6"/>
    <x v="0"/>
    <x v="1"/>
    <x v="0"/>
    <n v="8932.08"/>
    <x v="2"/>
  </r>
  <r>
    <x v="15"/>
    <x v="0"/>
    <n v="27.7"/>
    <x v="0"/>
    <x v="1"/>
    <x v="0"/>
    <n v="3554.2"/>
    <x v="1"/>
  </r>
  <r>
    <x v="3"/>
    <x v="1"/>
    <n v="35.200000000000003"/>
    <x v="0"/>
    <x v="1"/>
    <x v="3"/>
    <n v="12404.88"/>
    <x v="1"/>
  </r>
  <r>
    <x v="1"/>
    <x v="0"/>
    <n v="38.299999999999997"/>
    <x v="0"/>
    <x v="1"/>
    <x v="1"/>
    <n v="14133.04"/>
    <x v="0"/>
  </r>
  <r>
    <x v="6"/>
    <x v="1"/>
    <n v="27.6"/>
    <x v="0"/>
    <x v="1"/>
    <x v="0"/>
    <n v="24603.05"/>
    <x v="2"/>
  </r>
  <r>
    <x v="6"/>
    <x v="1"/>
    <n v="43.9"/>
    <x v="2"/>
    <x v="1"/>
    <x v="1"/>
    <n v="8944.1200000000008"/>
    <x v="2"/>
  </r>
  <r>
    <x v="42"/>
    <x v="1"/>
    <n v="29.8"/>
    <x v="2"/>
    <x v="1"/>
    <x v="2"/>
    <n v="9620.33"/>
    <x v="2"/>
  </r>
  <r>
    <x v="11"/>
    <x v="1"/>
    <n v="41.9"/>
    <x v="0"/>
    <x v="1"/>
    <x v="1"/>
    <n v="1837.28"/>
    <x v="1"/>
  </r>
  <r>
    <x v="1"/>
    <x v="0"/>
    <n v="20.8"/>
    <x v="0"/>
    <x v="1"/>
    <x v="1"/>
    <n v="1607.51"/>
    <x v="0"/>
  </r>
  <r>
    <x v="28"/>
    <x v="0"/>
    <n v="32.299999999999997"/>
    <x v="3"/>
    <x v="1"/>
    <x v="3"/>
    <n v="10043.25"/>
    <x v="2"/>
  </r>
  <r>
    <x v="22"/>
    <x v="1"/>
    <n v="30.5"/>
    <x v="1"/>
    <x v="1"/>
    <x v="0"/>
    <n v="4751.07"/>
    <x v="1"/>
  </r>
  <r>
    <x v="0"/>
    <x v="0"/>
    <n v="21.7"/>
    <x v="0"/>
    <x v="0"/>
    <x v="0"/>
    <n v="13844.51"/>
    <x v="0"/>
  </r>
  <r>
    <x v="27"/>
    <x v="0"/>
    <n v="26.4"/>
    <x v="1"/>
    <x v="1"/>
    <x v="0"/>
    <n v="2597.7800000000002"/>
    <x v="1"/>
  </r>
  <r>
    <x v="27"/>
    <x v="0"/>
    <n v="21.9"/>
    <x v="3"/>
    <x v="1"/>
    <x v="1"/>
    <n v="3180.51"/>
    <x v="1"/>
  </r>
  <r>
    <x v="41"/>
    <x v="0"/>
    <n v="30.8"/>
    <x v="1"/>
    <x v="1"/>
    <x v="3"/>
    <n v="9778.35"/>
    <x v="2"/>
  </r>
  <r>
    <x v="12"/>
    <x v="0"/>
    <n v="32.299999999999997"/>
    <x v="2"/>
    <x v="1"/>
    <x v="3"/>
    <n v="13430.27"/>
    <x v="2"/>
  </r>
  <r>
    <x v="44"/>
    <x v="0"/>
    <n v="25"/>
    <x v="3"/>
    <x v="1"/>
    <x v="2"/>
    <n v="8017.06"/>
    <x v="2"/>
  </r>
  <r>
    <x v="36"/>
    <x v="1"/>
    <n v="32"/>
    <x v="3"/>
    <x v="1"/>
    <x v="2"/>
    <n v="8116.27"/>
    <x v="2"/>
  </r>
  <r>
    <x v="1"/>
    <x v="1"/>
    <n v="30.4"/>
    <x v="2"/>
    <x v="1"/>
    <x v="3"/>
    <n v="3481.87"/>
    <x v="0"/>
  </r>
  <r>
    <x v="35"/>
    <x v="0"/>
    <n v="21.1"/>
    <x v="0"/>
    <x v="1"/>
    <x v="2"/>
    <n v="13415.04"/>
    <x v="3"/>
  </r>
  <r>
    <x v="37"/>
    <x v="0"/>
    <n v="22.2"/>
    <x v="0"/>
    <x v="1"/>
    <x v="3"/>
    <n v="12029.29"/>
    <x v="2"/>
  </r>
  <r>
    <x v="44"/>
    <x v="0"/>
    <n v="33.200000000000003"/>
    <x v="1"/>
    <x v="1"/>
    <x v="3"/>
    <n v="7639.42"/>
    <x v="2"/>
  </r>
  <r>
    <x v="21"/>
    <x v="1"/>
    <n v="32.9"/>
    <x v="3"/>
    <x v="0"/>
    <x v="0"/>
    <n v="36085.22"/>
    <x v="1"/>
  </r>
  <r>
    <x v="34"/>
    <x v="1"/>
    <n v="33.299999999999997"/>
    <x v="0"/>
    <x v="1"/>
    <x v="1"/>
    <n v="1391.53"/>
    <x v="1"/>
  </r>
  <r>
    <x v="11"/>
    <x v="0"/>
    <n v="28.3"/>
    <x v="0"/>
    <x v="0"/>
    <x v="2"/>
    <n v="18033.97"/>
    <x v="1"/>
  </r>
  <r>
    <x v="46"/>
    <x v="0"/>
    <n v="24.9"/>
    <x v="2"/>
    <x v="0"/>
    <x v="3"/>
    <n v="21659.93"/>
    <x v="1"/>
  </r>
  <r>
    <x v="23"/>
    <x v="1"/>
    <n v="40.200000000000003"/>
    <x v="0"/>
    <x v="0"/>
    <x v="1"/>
    <n v="38126.25"/>
    <x v="1"/>
  </r>
  <r>
    <x v="33"/>
    <x v="0"/>
    <n v="30.1"/>
    <x v="2"/>
    <x v="1"/>
    <x v="2"/>
    <n v="16455.71"/>
    <x v="3"/>
  </r>
  <r>
    <x v="10"/>
    <x v="1"/>
    <n v="31.5"/>
    <x v="1"/>
    <x v="1"/>
    <x v="1"/>
    <n v="27000.98"/>
    <x v="3"/>
  </r>
  <r>
    <x v="13"/>
    <x v="0"/>
    <n v="18"/>
    <x v="3"/>
    <x v="0"/>
    <x v="3"/>
    <n v="15006.58"/>
    <x v="1"/>
  </r>
  <r>
    <x v="19"/>
    <x v="1"/>
    <n v="30.7"/>
    <x v="0"/>
    <x v="0"/>
    <x v="3"/>
    <n v="42303.69"/>
    <x v="2"/>
  </r>
  <r>
    <x v="19"/>
    <x v="1"/>
    <n v="33"/>
    <x v="0"/>
    <x v="1"/>
    <x v="1"/>
    <n v="20781.490000000002"/>
    <x v="2"/>
  </r>
  <r>
    <x v="22"/>
    <x v="0"/>
    <n v="43.3"/>
    <x v="3"/>
    <x v="1"/>
    <x v="1"/>
    <n v="5846.92"/>
    <x v="1"/>
  </r>
  <r>
    <x v="36"/>
    <x v="1"/>
    <n v="22.1"/>
    <x v="3"/>
    <x v="1"/>
    <x v="3"/>
    <n v="8302.5400000000009"/>
    <x v="2"/>
  </r>
  <r>
    <x v="0"/>
    <x v="1"/>
    <n v="34.4"/>
    <x v="0"/>
    <x v="1"/>
    <x v="0"/>
    <n v="1261.8599999999999"/>
    <x v="0"/>
  </r>
  <r>
    <x v="30"/>
    <x v="0"/>
    <n v="39.1"/>
    <x v="0"/>
    <x v="1"/>
    <x v="1"/>
    <n v="11856.41"/>
    <x v="2"/>
  </r>
  <r>
    <x v="45"/>
    <x v="1"/>
    <n v="25.4"/>
    <x v="3"/>
    <x v="1"/>
    <x v="2"/>
    <n v="30284.639999999999"/>
    <x v="2"/>
  </r>
  <r>
    <x v="21"/>
    <x v="0"/>
    <n v="22.6"/>
    <x v="0"/>
    <x v="1"/>
    <x v="2"/>
    <n v="3176.82"/>
    <x v="1"/>
  </r>
  <r>
    <x v="23"/>
    <x v="0"/>
    <n v="30.2"/>
    <x v="2"/>
    <x v="1"/>
    <x v="2"/>
    <n v="4618.08"/>
    <x v="1"/>
  </r>
  <r>
    <x v="28"/>
    <x v="1"/>
    <n v="35.6"/>
    <x v="5"/>
    <x v="1"/>
    <x v="3"/>
    <n v="10736.87"/>
    <x v="2"/>
  </r>
  <r>
    <x v="0"/>
    <x v="0"/>
    <n v="37.4"/>
    <x v="0"/>
    <x v="1"/>
    <x v="2"/>
    <n v="2138.0700000000002"/>
    <x v="0"/>
  </r>
  <r>
    <x v="28"/>
    <x v="1"/>
    <n v="31.4"/>
    <x v="1"/>
    <x v="1"/>
    <x v="3"/>
    <n v="8964.06"/>
    <x v="2"/>
  </r>
  <r>
    <x v="41"/>
    <x v="1"/>
    <n v="31.4"/>
    <x v="1"/>
    <x v="1"/>
    <x v="3"/>
    <n v="9290.14"/>
    <x v="2"/>
  </r>
  <r>
    <x v="6"/>
    <x v="0"/>
    <n v="32.299999999999997"/>
    <x v="3"/>
    <x v="1"/>
    <x v="3"/>
    <n v="9411.01"/>
    <x v="2"/>
  </r>
  <r>
    <x v="6"/>
    <x v="1"/>
    <n v="19.899999999999999"/>
    <x v="0"/>
    <x v="1"/>
    <x v="2"/>
    <n v="7526.71"/>
    <x v="2"/>
  </r>
  <r>
    <x v="32"/>
    <x v="0"/>
    <n v="34.4"/>
    <x v="2"/>
    <x v="1"/>
    <x v="0"/>
    <n v="8522"/>
    <x v="2"/>
  </r>
  <r>
    <x v="27"/>
    <x v="1"/>
    <n v="31"/>
    <x v="0"/>
    <x v="1"/>
    <x v="1"/>
    <n v="16586.5"/>
    <x v="1"/>
  </r>
  <r>
    <x v="33"/>
    <x v="1"/>
    <n v="25.6"/>
    <x v="3"/>
    <x v="1"/>
    <x v="0"/>
    <n v="14988.43"/>
    <x v="3"/>
  </r>
  <r>
    <x v="1"/>
    <x v="0"/>
    <n v="38.200000000000003"/>
    <x v="0"/>
    <x v="1"/>
    <x v="1"/>
    <n v="1631.67"/>
    <x v="0"/>
  </r>
  <r>
    <x v="43"/>
    <x v="0"/>
    <n v="20.6"/>
    <x v="0"/>
    <x v="1"/>
    <x v="0"/>
    <n v="9264.7999999999993"/>
    <x v="2"/>
  </r>
  <r>
    <x v="42"/>
    <x v="1"/>
    <n v="47.5"/>
    <x v="1"/>
    <x v="1"/>
    <x v="1"/>
    <n v="8083.92"/>
    <x v="2"/>
  </r>
  <r>
    <x v="33"/>
    <x v="0"/>
    <n v="33"/>
    <x v="0"/>
    <x v="1"/>
    <x v="2"/>
    <n v="14692.67"/>
    <x v="3"/>
  </r>
  <r>
    <x v="41"/>
    <x v="1"/>
    <n v="32.299999999999997"/>
    <x v="2"/>
    <x v="1"/>
    <x v="2"/>
    <n v="10269.459999999999"/>
    <x v="2"/>
  </r>
  <r>
    <x v="5"/>
    <x v="1"/>
    <n v="20.399999999999999"/>
    <x v="0"/>
    <x v="1"/>
    <x v="0"/>
    <n v="3260.2"/>
    <x v="1"/>
  </r>
  <r>
    <x v="14"/>
    <x v="0"/>
    <n v="38.4"/>
    <x v="3"/>
    <x v="1"/>
    <x v="3"/>
    <n v="11396.9"/>
    <x v="2"/>
  </r>
  <r>
    <x v="3"/>
    <x v="0"/>
    <n v="24.3"/>
    <x v="0"/>
    <x v="1"/>
    <x v="1"/>
    <n v="4185.1000000000004"/>
    <x v="1"/>
  </r>
  <r>
    <x v="42"/>
    <x v="0"/>
    <n v="23.6"/>
    <x v="1"/>
    <x v="1"/>
    <x v="0"/>
    <n v="8539.67"/>
    <x v="2"/>
  </r>
  <r>
    <x v="25"/>
    <x v="1"/>
    <n v="21.1"/>
    <x v="2"/>
    <x v="1"/>
    <x v="1"/>
    <n v="6652.53"/>
    <x v="1"/>
  </r>
  <r>
    <x v="4"/>
    <x v="1"/>
    <n v="30"/>
    <x v="1"/>
    <x v="1"/>
    <x v="1"/>
    <n v="4074.45"/>
    <x v="1"/>
  </r>
  <r>
    <x v="0"/>
    <x v="1"/>
    <n v="17.5"/>
    <x v="0"/>
    <x v="1"/>
    <x v="2"/>
    <n v="1621.34"/>
    <x v="0"/>
  </r>
  <r>
    <x v="36"/>
    <x v="0"/>
    <n v="20.2"/>
    <x v="1"/>
    <x v="0"/>
    <x v="3"/>
    <n v="19594.810000000001"/>
    <x v="2"/>
  </r>
  <r>
    <x v="21"/>
    <x v="0"/>
    <n v="17.2"/>
    <x v="3"/>
    <x v="0"/>
    <x v="3"/>
    <n v="14455.64"/>
    <x v="1"/>
  </r>
  <r>
    <x v="9"/>
    <x v="1"/>
    <n v="23.9"/>
    <x v="4"/>
    <x v="1"/>
    <x v="0"/>
    <n v="5080.1000000000004"/>
    <x v="1"/>
  </r>
  <r>
    <x v="0"/>
    <x v="0"/>
    <n v="35.200000000000003"/>
    <x v="0"/>
    <x v="1"/>
    <x v="2"/>
    <n v="2134.9"/>
    <x v="0"/>
  </r>
  <r>
    <x v="32"/>
    <x v="0"/>
    <n v="35.6"/>
    <x v="1"/>
    <x v="1"/>
    <x v="1"/>
    <n v="7345.73"/>
    <x v="2"/>
  </r>
  <r>
    <x v="14"/>
    <x v="1"/>
    <n v="34.1"/>
    <x v="0"/>
    <x v="1"/>
    <x v="1"/>
    <n v="9140.9500000000007"/>
    <x v="2"/>
  </r>
  <r>
    <x v="26"/>
    <x v="0"/>
    <n v="22.6"/>
    <x v="3"/>
    <x v="0"/>
    <x v="0"/>
    <n v="18608.259999999998"/>
    <x v="1"/>
  </r>
  <r>
    <x v="33"/>
    <x v="1"/>
    <n v="39.200000000000003"/>
    <x v="1"/>
    <x v="1"/>
    <x v="1"/>
    <n v="14418.28"/>
    <x v="3"/>
  </r>
  <r>
    <x v="18"/>
    <x v="0"/>
    <n v="27"/>
    <x v="0"/>
    <x v="0"/>
    <x v="2"/>
    <n v="28950.47"/>
    <x v="3"/>
  </r>
  <r>
    <x v="33"/>
    <x v="1"/>
    <n v="33.9"/>
    <x v="0"/>
    <x v="0"/>
    <x v="1"/>
    <n v="46889.26"/>
    <x v="3"/>
  </r>
  <r>
    <x v="35"/>
    <x v="1"/>
    <n v="35.9"/>
    <x v="0"/>
    <x v="0"/>
    <x v="1"/>
    <n v="46599.11"/>
    <x v="3"/>
  </r>
  <r>
    <x v="29"/>
    <x v="1"/>
    <n v="32.799999999999997"/>
    <x v="1"/>
    <x v="0"/>
    <x v="3"/>
    <n v="39125.33"/>
    <x v="2"/>
  </r>
  <r>
    <x v="9"/>
    <x v="1"/>
    <n v="30.6"/>
    <x v="0"/>
    <x v="1"/>
    <x v="3"/>
    <n v="2727.4"/>
    <x v="1"/>
  </r>
  <r>
    <x v="28"/>
    <x v="1"/>
    <n v="30.2"/>
    <x v="3"/>
    <x v="1"/>
    <x v="0"/>
    <n v="8968.33"/>
    <x v="2"/>
  </r>
  <r>
    <x v="39"/>
    <x v="1"/>
    <n v="24.3"/>
    <x v="4"/>
    <x v="1"/>
    <x v="1"/>
    <n v="9788.8700000000008"/>
    <x v="2"/>
  </r>
  <r>
    <x v="25"/>
    <x v="0"/>
    <n v="27.3"/>
    <x v="1"/>
    <x v="1"/>
    <x v="3"/>
    <n v="6555.07"/>
    <x v="1"/>
  </r>
  <r>
    <x v="1"/>
    <x v="0"/>
    <n v="29.2"/>
    <x v="0"/>
    <x v="1"/>
    <x v="3"/>
    <n v="7323.73"/>
    <x v="0"/>
  </r>
  <r>
    <x v="27"/>
    <x v="0"/>
    <n v="16.8"/>
    <x v="1"/>
    <x v="1"/>
    <x v="3"/>
    <n v="3167.46"/>
    <x v="1"/>
  </r>
  <r>
    <x v="13"/>
    <x v="0"/>
    <n v="30.4"/>
    <x v="2"/>
    <x v="1"/>
    <x v="2"/>
    <n v="18804.75"/>
    <x v="1"/>
  </r>
  <r>
    <x v="0"/>
    <x v="1"/>
    <n v="33.1"/>
    <x v="0"/>
    <x v="1"/>
    <x v="0"/>
    <n v="23082.959999999999"/>
    <x v="0"/>
  </r>
  <r>
    <x v="38"/>
    <x v="0"/>
    <n v="20.2"/>
    <x v="3"/>
    <x v="1"/>
    <x v="2"/>
    <n v="4906.41"/>
    <x v="1"/>
  </r>
  <r>
    <x v="44"/>
    <x v="1"/>
    <n v="26.9"/>
    <x v="0"/>
    <x v="1"/>
    <x v="0"/>
    <n v="5969.72"/>
    <x v="2"/>
  </r>
  <r>
    <x v="8"/>
    <x v="0"/>
    <n v="30.5"/>
    <x v="0"/>
    <x v="1"/>
    <x v="0"/>
    <n v="12638.2"/>
    <x v="3"/>
  </r>
  <r>
    <x v="5"/>
    <x v="1"/>
    <n v="28.6"/>
    <x v="1"/>
    <x v="1"/>
    <x v="2"/>
    <n v="4243.59"/>
    <x v="1"/>
  </r>
  <r>
    <x v="8"/>
    <x v="1"/>
    <n v="33.1"/>
    <x v="2"/>
    <x v="1"/>
    <x v="1"/>
    <n v="13919.82"/>
    <x v="3"/>
  </r>
  <r>
    <x v="20"/>
    <x v="1"/>
    <n v="31.7"/>
    <x v="0"/>
    <x v="1"/>
    <x v="3"/>
    <n v="2254.8000000000002"/>
    <x v="1"/>
  </r>
  <r>
    <x v="22"/>
    <x v="1"/>
    <n v="28.9"/>
    <x v="2"/>
    <x v="1"/>
    <x v="0"/>
    <n v="5926.85"/>
    <x v="1"/>
  </r>
  <r>
    <x v="14"/>
    <x v="0"/>
    <n v="46.8"/>
    <x v="4"/>
    <x v="1"/>
    <x v="1"/>
    <n v="12592.53"/>
    <x v="2"/>
  </r>
  <r>
    <x v="21"/>
    <x v="1"/>
    <n v="29.5"/>
    <x v="0"/>
    <x v="1"/>
    <x v="3"/>
    <n v="2897.32"/>
    <x v="1"/>
  </r>
  <r>
    <x v="5"/>
    <x v="0"/>
    <n v="32.700000000000003"/>
    <x v="1"/>
    <x v="1"/>
    <x v="2"/>
    <n v="4738.2700000000004"/>
    <x v="1"/>
  </r>
  <r>
    <x v="3"/>
    <x v="0"/>
    <n v="33.5"/>
    <x v="0"/>
    <x v="0"/>
    <x v="0"/>
    <n v="37079.370000000003"/>
    <x v="1"/>
  </r>
  <r>
    <x v="1"/>
    <x v="1"/>
    <n v="43"/>
    <x v="0"/>
    <x v="1"/>
    <x v="1"/>
    <n v="1149.4000000000001"/>
    <x v="0"/>
  </r>
  <r>
    <x v="17"/>
    <x v="0"/>
    <n v="36.5"/>
    <x v="1"/>
    <x v="1"/>
    <x v="1"/>
    <n v="28287.9"/>
    <x v="2"/>
  </r>
  <r>
    <x v="12"/>
    <x v="1"/>
    <n v="26.7"/>
    <x v="1"/>
    <x v="0"/>
    <x v="2"/>
    <n v="26109.33"/>
    <x v="2"/>
  </r>
  <r>
    <x v="39"/>
    <x v="0"/>
    <n v="33.1"/>
    <x v="0"/>
    <x v="1"/>
    <x v="0"/>
    <n v="7345.08"/>
    <x v="2"/>
  </r>
  <r>
    <x v="8"/>
    <x v="1"/>
    <n v="29.6"/>
    <x v="0"/>
    <x v="1"/>
    <x v="3"/>
    <n v="12731"/>
    <x v="3"/>
  </r>
  <r>
    <x v="12"/>
    <x v="0"/>
    <n v="25.7"/>
    <x v="0"/>
    <x v="1"/>
    <x v="2"/>
    <n v="11454.02"/>
    <x v="2"/>
  </r>
  <r>
    <x v="29"/>
    <x v="0"/>
    <n v="29.6"/>
    <x v="0"/>
    <x v="1"/>
    <x v="0"/>
    <n v="5910.94"/>
    <x v="2"/>
  </r>
  <r>
    <x v="22"/>
    <x v="1"/>
    <n v="38.6"/>
    <x v="1"/>
    <x v="1"/>
    <x v="0"/>
    <n v="4762.33"/>
    <x v="1"/>
  </r>
  <r>
    <x v="46"/>
    <x v="1"/>
    <n v="29.6"/>
    <x v="5"/>
    <x v="1"/>
    <x v="0"/>
    <n v="7512.27"/>
    <x v="1"/>
  </r>
  <r>
    <x v="15"/>
    <x v="1"/>
    <n v="24.1"/>
    <x v="1"/>
    <x v="1"/>
    <x v="2"/>
    <n v="4032.24"/>
    <x v="1"/>
  </r>
  <r>
    <x v="23"/>
    <x v="1"/>
    <n v="23.4"/>
    <x v="0"/>
    <x v="1"/>
    <x v="0"/>
    <n v="1969.61"/>
    <x v="1"/>
  </r>
  <r>
    <x v="34"/>
    <x v="1"/>
    <n v="29.7"/>
    <x v="0"/>
    <x v="1"/>
    <x v="2"/>
    <n v="1769.53"/>
    <x v="1"/>
  </r>
  <r>
    <x v="4"/>
    <x v="1"/>
    <n v="46.5"/>
    <x v="3"/>
    <x v="1"/>
    <x v="1"/>
    <n v="4686.3900000000003"/>
    <x v="1"/>
  </r>
  <r>
    <x v="17"/>
    <x v="1"/>
    <n v="37.4"/>
    <x v="0"/>
    <x v="1"/>
    <x v="0"/>
    <n v="21797"/>
    <x v="2"/>
  </r>
  <r>
    <x v="19"/>
    <x v="0"/>
    <n v="30.1"/>
    <x v="3"/>
    <x v="1"/>
    <x v="1"/>
    <n v="11881.97"/>
    <x v="2"/>
  </r>
  <r>
    <x v="37"/>
    <x v="0"/>
    <n v="30.5"/>
    <x v="0"/>
    <x v="1"/>
    <x v="2"/>
    <n v="11840.78"/>
    <x v="2"/>
  </r>
  <r>
    <x v="12"/>
    <x v="1"/>
    <n v="39.6"/>
    <x v="0"/>
    <x v="1"/>
    <x v="0"/>
    <n v="10601.41"/>
    <x v="2"/>
  </r>
  <r>
    <x v="29"/>
    <x v="0"/>
    <n v="33"/>
    <x v="2"/>
    <x v="1"/>
    <x v="1"/>
    <n v="7682.67"/>
    <x v="2"/>
  </r>
  <r>
    <x v="41"/>
    <x v="0"/>
    <n v="36.6"/>
    <x v="2"/>
    <x v="1"/>
    <x v="1"/>
    <n v="10381.48"/>
    <x v="2"/>
  </r>
  <r>
    <x v="44"/>
    <x v="1"/>
    <n v="30"/>
    <x v="0"/>
    <x v="0"/>
    <x v="0"/>
    <n v="22144.03"/>
    <x v="2"/>
  </r>
  <r>
    <x v="10"/>
    <x v="0"/>
    <n v="38.1"/>
    <x v="3"/>
    <x v="1"/>
    <x v="3"/>
    <n v="15230.32"/>
    <x v="3"/>
  </r>
  <r>
    <x v="12"/>
    <x v="1"/>
    <n v="25.9"/>
    <x v="0"/>
    <x v="1"/>
    <x v="3"/>
    <n v="11165.42"/>
    <x v="2"/>
  </r>
  <r>
    <x v="0"/>
    <x v="1"/>
    <n v="25.2"/>
    <x v="0"/>
    <x v="1"/>
    <x v="2"/>
    <n v="1632.04"/>
    <x v="0"/>
  </r>
  <r>
    <x v="15"/>
    <x v="0"/>
    <n v="28.4"/>
    <x v="1"/>
    <x v="0"/>
    <x v="1"/>
    <n v="19521.97"/>
    <x v="1"/>
  </r>
  <r>
    <x v="8"/>
    <x v="0"/>
    <n v="28.7"/>
    <x v="1"/>
    <x v="1"/>
    <x v="0"/>
    <n v="13224.69"/>
    <x v="3"/>
  </r>
  <r>
    <x v="12"/>
    <x v="0"/>
    <n v="33.799999999999997"/>
    <x v="3"/>
    <x v="1"/>
    <x v="2"/>
    <n v="12643.38"/>
    <x v="2"/>
  </r>
  <r>
    <x v="2"/>
    <x v="0"/>
    <n v="24.3"/>
    <x v="1"/>
    <x v="1"/>
    <x v="3"/>
    <n v="23288.93"/>
    <x v="1"/>
  </r>
  <r>
    <x v="1"/>
    <x v="0"/>
    <n v="24.1"/>
    <x v="1"/>
    <x v="1"/>
    <x v="1"/>
    <n v="2201.1"/>
    <x v="0"/>
  </r>
  <r>
    <x v="13"/>
    <x v="1"/>
    <n v="32.700000000000003"/>
    <x v="0"/>
    <x v="1"/>
    <x v="1"/>
    <n v="2497.04"/>
    <x v="1"/>
  </r>
  <r>
    <x v="1"/>
    <x v="0"/>
    <n v="30.1"/>
    <x v="0"/>
    <x v="1"/>
    <x v="3"/>
    <n v="2203.4699999999998"/>
    <x v="0"/>
  </r>
  <r>
    <x v="0"/>
    <x v="0"/>
    <n v="29.8"/>
    <x v="0"/>
    <x v="1"/>
    <x v="0"/>
    <n v="1744.47"/>
    <x v="0"/>
  </r>
  <r>
    <x v="42"/>
    <x v="0"/>
    <n v="33.299999999999997"/>
    <x v="0"/>
    <x v="1"/>
    <x v="3"/>
    <n v="20878.78"/>
    <x v="2"/>
  </r>
  <r>
    <x v="40"/>
    <x v="1"/>
    <n v="25.1"/>
    <x v="2"/>
    <x v="0"/>
    <x v="0"/>
    <n v="25382.3"/>
    <x v="2"/>
  </r>
  <r>
    <x v="35"/>
    <x v="1"/>
    <n v="28.3"/>
    <x v="1"/>
    <x v="0"/>
    <x v="2"/>
    <n v="28868.66"/>
    <x v="3"/>
  </r>
  <r>
    <x v="23"/>
    <x v="1"/>
    <n v="28.5"/>
    <x v="0"/>
    <x v="0"/>
    <x v="3"/>
    <n v="35147.53"/>
    <x v="1"/>
  </r>
  <r>
    <x v="9"/>
    <x v="1"/>
    <n v="35.6"/>
    <x v="0"/>
    <x v="1"/>
    <x v="2"/>
    <n v="2534.39"/>
    <x v="1"/>
  </r>
  <r>
    <x v="27"/>
    <x v="1"/>
    <n v="36.9"/>
    <x v="0"/>
    <x v="1"/>
    <x v="1"/>
    <n v="1534.3"/>
    <x v="1"/>
  </r>
  <r>
    <x v="11"/>
    <x v="1"/>
    <n v="32.6"/>
    <x v="0"/>
    <x v="1"/>
    <x v="1"/>
    <n v="1824.29"/>
    <x v="1"/>
  </r>
  <r>
    <x v="18"/>
    <x v="1"/>
    <n v="41.3"/>
    <x v="2"/>
    <x v="1"/>
    <x v="2"/>
    <n v="15555.19"/>
    <x v="3"/>
  </r>
  <r>
    <x v="41"/>
    <x v="1"/>
    <n v="37.5"/>
    <x v="3"/>
    <x v="1"/>
    <x v="1"/>
    <n v="9304.7000000000007"/>
    <x v="2"/>
  </r>
  <r>
    <x v="1"/>
    <x v="0"/>
    <n v="31.4"/>
    <x v="0"/>
    <x v="1"/>
    <x v="1"/>
    <n v="1622.19"/>
    <x v="0"/>
  </r>
  <r>
    <x v="43"/>
    <x v="0"/>
    <n v="39.5"/>
    <x v="1"/>
    <x v="1"/>
    <x v="0"/>
    <n v="9880.07"/>
    <x v="2"/>
  </r>
  <r>
    <x v="28"/>
    <x v="1"/>
    <n v="34.299999999999997"/>
    <x v="2"/>
    <x v="1"/>
    <x v="0"/>
    <n v="9563.0300000000007"/>
    <x v="2"/>
  </r>
  <r>
    <x v="5"/>
    <x v="0"/>
    <n v="31.1"/>
    <x v="0"/>
    <x v="1"/>
    <x v="3"/>
    <n v="4347.0200000000004"/>
    <x v="1"/>
  </r>
  <r>
    <x v="40"/>
    <x v="0"/>
    <n v="21.5"/>
    <x v="2"/>
    <x v="1"/>
    <x v="2"/>
    <n v="12475.35"/>
    <x v="2"/>
  </r>
  <r>
    <x v="0"/>
    <x v="1"/>
    <n v="28.7"/>
    <x v="0"/>
    <x v="1"/>
    <x v="0"/>
    <n v="1253.94"/>
    <x v="0"/>
  </r>
  <r>
    <x v="36"/>
    <x v="0"/>
    <n v="38.1"/>
    <x v="0"/>
    <x v="0"/>
    <x v="1"/>
    <n v="48885.14"/>
    <x v="2"/>
  </r>
  <r>
    <x v="31"/>
    <x v="1"/>
    <n v="31.2"/>
    <x v="1"/>
    <x v="1"/>
    <x v="2"/>
    <n v="10461.98"/>
    <x v="2"/>
  </r>
  <r>
    <x v="0"/>
    <x v="0"/>
    <n v="32.9"/>
    <x v="0"/>
    <x v="1"/>
    <x v="0"/>
    <n v="1748.77"/>
    <x v="0"/>
  </r>
  <r>
    <x v="35"/>
    <x v="0"/>
    <n v="25.1"/>
    <x v="0"/>
    <x v="1"/>
    <x v="1"/>
    <n v="24513.09"/>
    <x v="3"/>
  </r>
  <r>
    <x v="1"/>
    <x v="0"/>
    <n v="25.1"/>
    <x v="0"/>
    <x v="1"/>
    <x v="3"/>
    <n v="2196.4699999999998"/>
    <x v="0"/>
  </r>
  <r>
    <x v="35"/>
    <x v="1"/>
    <n v="43.4"/>
    <x v="0"/>
    <x v="1"/>
    <x v="0"/>
    <n v="12574.05"/>
    <x v="3"/>
  </r>
  <r>
    <x v="27"/>
    <x v="1"/>
    <n v="25.7"/>
    <x v="5"/>
    <x v="0"/>
    <x v="0"/>
    <n v="17942.11"/>
    <x v="1"/>
  </r>
  <r>
    <x v="34"/>
    <x v="1"/>
    <n v="27.9"/>
    <x v="0"/>
    <x v="1"/>
    <x v="3"/>
    <n v="1967.02"/>
    <x v="1"/>
  </r>
  <r>
    <x v="5"/>
    <x v="0"/>
    <n v="23.6"/>
    <x v="3"/>
    <x v="1"/>
    <x v="0"/>
    <n v="4931.6499999999996"/>
    <x v="1"/>
  </r>
  <r>
    <x v="39"/>
    <x v="1"/>
    <n v="28.7"/>
    <x v="3"/>
    <x v="1"/>
    <x v="0"/>
    <n v="8027.97"/>
    <x v="2"/>
  </r>
  <r>
    <x v="36"/>
    <x v="0"/>
    <n v="24"/>
    <x v="3"/>
    <x v="1"/>
    <x v="1"/>
    <n v="8211.1"/>
    <x v="2"/>
  </r>
  <r>
    <x v="10"/>
    <x v="0"/>
    <n v="39.200000000000003"/>
    <x v="0"/>
    <x v="1"/>
    <x v="0"/>
    <n v="13470.86"/>
    <x v="3"/>
  </r>
  <r>
    <x v="38"/>
    <x v="1"/>
    <n v="34.4"/>
    <x v="0"/>
    <x v="0"/>
    <x v="0"/>
    <n v="36197.699999999997"/>
    <x v="1"/>
  </r>
  <r>
    <x v="32"/>
    <x v="1"/>
    <n v="26"/>
    <x v="0"/>
    <x v="1"/>
    <x v="3"/>
    <n v="6837.37"/>
    <x v="2"/>
  </r>
  <r>
    <x v="43"/>
    <x v="1"/>
    <n v="23.2"/>
    <x v="1"/>
    <x v="0"/>
    <x v="1"/>
    <n v="22218.11"/>
    <x v="2"/>
  </r>
  <r>
    <x v="0"/>
    <x v="1"/>
    <n v="30.3"/>
    <x v="0"/>
    <x v="0"/>
    <x v="1"/>
    <n v="32548.34"/>
    <x v="0"/>
  </r>
  <r>
    <x v="25"/>
    <x v="0"/>
    <n v="28.9"/>
    <x v="1"/>
    <x v="1"/>
    <x v="1"/>
    <n v="5974.38"/>
    <x v="1"/>
  </r>
  <r>
    <x v="7"/>
    <x v="1"/>
    <n v="30.9"/>
    <x v="2"/>
    <x v="1"/>
    <x v="2"/>
    <n v="6796.86"/>
    <x v="1"/>
  </r>
  <r>
    <x v="20"/>
    <x v="1"/>
    <n v="31.4"/>
    <x v="1"/>
    <x v="1"/>
    <x v="2"/>
    <n v="2643.27"/>
    <x v="1"/>
  </r>
  <r>
    <x v="27"/>
    <x v="1"/>
    <n v="23.8"/>
    <x v="3"/>
    <x v="1"/>
    <x v="2"/>
    <n v="3077.1"/>
    <x v="1"/>
  </r>
  <r>
    <x v="23"/>
    <x v="0"/>
    <n v="25.3"/>
    <x v="0"/>
    <x v="1"/>
    <x v="3"/>
    <n v="3044.21"/>
    <x v="1"/>
  </r>
  <r>
    <x v="37"/>
    <x v="0"/>
    <n v="28.7"/>
    <x v="0"/>
    <x v="1"/>
    <x v="0"/>
    <n v="11455.28"/>
    <x v="2"/>
  </r>
  <r>
    <x v="12"/>
    <x v="1"/>
    <n v="32.1"/>
    <x v="1"/>
    <x v="1"/>
    <x v="3"/>
    <n v="11763"/>
    <x v="2"/>
  </r>
  <r>
    <x v="13"/>
    <x v="1"/>
    <n v="33.700000000000003"/>
    <x v="0"/>
    <x v="1"/>
    <x v="1"/>
    <n v="2498.41"/>
    <x v="1"/>
  </r>
  <r>
    <x v="43"/>
    <x v="1"/>
    <n v="22.4"/>
    <x v="0"/>
    <x v="1"/>
    <x v="3"/>
    <n v="9361.33"/>
    <x v="2"/>
  </r>
  <r>
    <x v="0"/>
    <x v="1"/>
    <n v="30.4"/>
    <x v="0"/>
    <x v="1"/>
    <x v="0"/>
    <n v="1256.3"/>
    <x v="0"/>
  </r>
  <r>
    <x v="46"/>
    <x v="1"/>
    <n v="28.3"/>
    <x v="1"/>
    <x v="0"/>
    <x v="0"/>
    <n v="21082.16"/>
    <x v="1"/>
  </r>
  <r>
    <x v="30"/>
    <x v="1"/>
    <n v="35.700000000000003"/>
    <x v="0"/>
    <x v="1"/>
    <x v="0"/>
    <n v="11362.76"/>
    <x v="2"/>
  </r>
  <r>
    <x v="34"/>
    <x v="1"/>
    <n v="35.299999999999997"/>
    <x v="1"/>
    <x v="1"/>
    <x v="1"/>
    <n v="27724.29"/>
    <x v="1"/>
  </r>
  <r>
    <x v="39"/>
    <x v="1"/>
    <n v="30.5"/>
    <x v="3"/>
    <x v="1"/>
    <x v="2"/>
    <n v="8413.4599999999991"/>
    <x v="2"/>
  </r>
  <r>
    <x v="22"/>
    <x v="0"/>
    <n v="31"/>
    <x v="1"/>
    <x v="1"/>
    <x v="0"/>
    <n v="5240.7700000000004"/>
    <x v="1"/>
  </r>
  <r>
    <x v="5"/>
    <x v="1"/>
    <n v="30.9"/>
    <x v="0"/>
    <x v="1"/>
    <x v="3"/>
    <n v="3857.76"/>
    <x v="1"/>
  </r>
  <r>
    <x v="45"/>
    <x v="0"/>
    <n v="27.4"/>
    <x v="0"/>
    <x v="1"/>
    <x v="3"/>
    <n v="25656.58"/>
    <x v="2"/>
  </r>
  <r>
    <x v="4"/>
    <x v="0"/>
    <n v="44.2"/>
    <x v="0"/>
    <x v="1"/>
    <x v="1"/>
    <n v="3994.18"/>
    <x v="1"/>
  </r>
  <r>
    <x v="43"/>
    <x v="0"/>
    <n v="33.9"/>
    <x v="0"/>
    <x v="1"/>
    <x v="3"/>
    <n v="9866.2999999999993"/>
    <x v="2"/>
  </r>
  <r>
    <x v="25"/>
    <x v="0"/>
    <n v="37.700000000000003"/>
    <x v="0"/>
    <x v="1"/>
    <x v="1"/>
    <n v="5397.62"/>
    <x v="1"/>
  </r>
  <r>
    <x v="44"/>
    <x v="1"/>
    <n v="26.1"/>
    <x v="1"/>
    <x v="0"/>
    <x v="1"/>
    <n v="38245.589999999997"/>
    <x v="2"/>
  </r>
  <r>
    <x v="1"/>
    <x v="0"/>
    <n v="33.9"/>
    <x v="0"/>
    <x v="1"/>
    <x v="1"/>
    <n v="11482.63"/>
    <x v="0"/>
  </r>
  <r>
    <x v="0"/>
    <x v="0"/>
    <n v="30.6"/>
    <x v="3"/>
    <x v="1"/>
    <x v="2"/>
    <n v="24059.68"/>
    <x v="0"/>
  </r>
  <r>
    <x v="43"/>
    <x v="0"/>
    <n v="25.8"/>
    <x v="1"/>
    <x v="1"/>
    <x v="0"/>
    <n v="9861.0300000000007"/>
    <x v="2"/>
  </r>
  <r>
    <x v="6"/>
    <x v="1"/>
    <n v="39.4"/>
    <x v="1"/>
    <x v="1"/>
    <x v="3"/>
    <n v="8342.91"/>
    <x v="2"/>
  </r>
  <r>
    <x v="1"/>
    <x v="1"/>
    <n v="25.5"/>
    <x v="0"/>
    <x v="1"/>
    <x v="3"/>
    <n v="1708"/>
    <x v="0"/>
  </r>
  <r>
    <x v="37"/>
    <x v="1"/>
    <n v="42.1"/>
    <x v="1"/>
    <x v="0"/>
    <x v="1"/>
    <n v="48675.519999999997"/>
    <x v="2"/>
  </r>
  <r>
    <x v="10"/>
    <x v="0"/>
    <n v="31.7"/>
    <x v="0"/>
    <x v="1"/>
    <x v="3"/>
    <n v="14043.48"/>
    <x v="3"/>
  </r>
  <r>
    <x v="17"/>
    <x v="1"/>
    <n v="29.7"/>
    <x v="3"/>
    <x v="1"/>
    <x v="1"/>
    <n v="12925.89"/>
    <x v="2"/>
  </r>
  <r>
    <x v="7"/>
    <x v="1"/>
    <n v="36.200000000000003"/>
    <x v="0"/>
    <x v="1"/>
    <x v="1"/>
    <n v="19214.71"/>
    <x v="1"/>
  </r>
  <r>
    <x v="33"/>
    <x v="1"/>
    <n v="40.5"/>
    <x v="0"/>
    <x v="1"/>
    <x v="1"/>
    <n v="13831.12"/>
    <x v="3"/>
  </r>
  <r>
    <x v="25"/>
    <x v="1"/>
    <n v="28"/>
    <x v="1"/>
    <x v="1"/>
    <x v="3"/>
    <n v="6067.13"/>
    <x v="1"/>
  </r>
  <r>
    <x v="3"/>
    <x v="0"/>
    <n v="38.9"/>
    <x v="2"/>
    <x v="1"/>
    <x v="0"/>
    <n v="5972.38"/>
    <x v="1"/>
  </r>
  <r>
    <x v="6"/>
    <x v="0"/>
    <n v="30.2"/>
    <x v="3"/>
    <x v="1"/>
    <x v="0"/>
    <n v="8825.09"/>
    <x v="2"/>
  </r>
  <r>
    <x v="6"/>
    <x v="0"/>
    <n v="28.1"/>
    <x v="1"/>
    <x v="1"/>
    <x v="1"/>
    <n v="8233.1"/>
    <x v="2"/>
  </r>
  <r>
    <x v="31"/>
    <x v="1"/>
    <n v="31.4"/>
    <x v="0"/>
    <x v="1"/>
    <x v="1"/>
    <n v="27346.04"/>
    <x v="2"/>
  </r>
  <r>
    <x v="16"/>
    <x v="0"/>
    <n v="38"/>
    <x v="2"/>
    <x v="1"/>
    <x v="0"/>
    <n v="6196.45"/>
    <x v="1"/>
  </r>
  <r>
    <x v="34"/>
    <x v="0"/>
    <n v="31.8"/>
    <x v="3"/>
    <x v="1"/>
    <x v="1"/>
    <n v="3056.39"/>
    <x v="1"/>
  </r>
  <r>
    <x v="18"/>
    <x v="0"/>
    <n v="36.299999999999997"/>
    <x v="0"/>
    <x v="1"/>
    <x v="1"/>
    <n v="13887.2"/>
    <x v="3"/>
  </r>
  <r>
    <x v="40"/>
    <x v="0"/>
    <n v="47.4"/>
    <x v="0"/>
    <x v="0"/>
    <x v="1"/>
    <n v="63770.43"/>
    <x v="2"/>
  </r>
  <r>
    <x v="40"/>
    <x v="1"/>
    <n v="30.2"/>
    <x v="0"/>
    <x v="1"/>
    <x v="2"/>
    <n v="10231.5"/>
    <x v="2"/>
  </r>
  <r>
    <x v="41"/>
    <x v="1"/>
    <n v="25.8"/>
    <x v="3"/>
    <x v="0"/>
    <x v="2"/>
    <n v="23807.24"/>
    <x v="2"/>
  </r>
  <r>
    <x v="2"/>
    <x v="1"/>
    <n v="35.4"/>
    <x v="0"/>
    <x v="1"/>
    <x v="3"/>
    <n v="3268.85"/>
    <x v="1"/>
  </r>
  <r>
    <x v="40"/>
    <x v="0"/>
    <n v="46.7"/>
    <x v="3"/>
    <x v="1"/>
    <x v="0"/>
    <n v="11538.42"/>
    <x v="2"/>
  </r>
  <r>
    <x v="9"/>
    <x v="0"/>
    <n v="28.6"/>
    <x v="0"/>
    <x v="1"/>
    <x v="3"/>
    <n v="3213.62"/>
    <x v="1"/>
  </r>
  <r>
    <x v="32"/>
    <x v="0"/>
    <n v="46.2"/>
    <x v="0"/>
    <x v="0"/>
    <x v="1"/>
    <n v="45863.21"/>
    <x v="2"/>
  </r>
  <r>
    <x v="18"/>
    <x v="1"/>
    <n v="30.8"/>
    <x v="0"/>
    <x v="1"/>
    <x v="0"/>
    <n v="13390.56"/>
    <x v="3"/>
  </r>
  <r>
    <x v="4"/>
    <x v="0"/>
    <n v="28.9"/>
    <x v="0"/>
    <x v="1"/>
    <x v="1"/>
    <n v="3972.92"/>
    <x v="1"/>
  </r>
  <r>
    <x v="10"/>
    <x v="1"/>
    <n v="21.4"/>
    <x v="0"/>
    <x v="1"/>
    <x v="0"/>
    <n v="12957.12"/>
    <x v="3"/>
  </r>
  <r>
    <x v="14"/>
    <x v="0"/>
    <n v="31.7"/>
    <x v="3"/>
    <x v="1"/>
    <x v="2"/>
    <n v="11187.66"/>
    <x v="2"/>
  </r>
  <r>
    <x v="9"/>
    <x v="0"/>
    <n v="41.3"/>
    <x v="0"/>
    <x v="1"/>
    <x v="3"/>
    <n v="17878.900000000001"/>
    <x v="1"/>
  </r>
  <r>
    <x v="2"/>
    <x v="1"/>
    <n v="23.8"/>
    <x v="3"/>
    <x v="1"/>
    <x v="0"/>
    <n v="3847.67"/>
    <x v="1"/>
  </r>
  <r>
    <x v="6"/>
    <x v="1"/>
    <n v="33.4"/>
    <x v="1"/>
    <x v="1"/>
    <x v="3"/>
    <n v="8334.59"/>
    <x v="2"/>
  </r>
  <r>
    <x v="16"/>
    <x v="1"/>
    <n v="34.200000000000003"/>
    <x v="0"/>
    <x v="1"/>
    <x v="1"/>
    <n v="3935.18"/>
    <x v="1"/>
  </r>
  <r>
    <x v="22"/>
    <x v="0"/>
    <n v="34.1"/>
    <x v="2"/>
    <x v="0"/>
    <x v="2"/>
    <n v="39983.43"/>
    <x v="1"/>
  </r>
  <r>
    <x v="0"/>
    <x v="1"/>
    <n v="35.5"/>
    <x v="0"/>
    <x v="1"/>
    <x v="2"/>
    <n v="1646.43"/>
    <x v="0"/>
  </r>
  <r>
    <x v="6"/>
    <x v="0"/>
    <n v="20"/>
    <x v="3"/>
    <x v="1"/>
    <x v="2"/>
    <n v="9193.84"/>
    <x v="2"/>
  </r>
  <r>
    <x v="40"/>
    <x v="0"/>
    <n v="32.700000000000003"/>
    <x v="0"/>
    <x v="1"/>
    <x v="3"/>
    <n v="10923.93"/>
    <x v="2"/>
  </r>
  <r>
    <x v="13"/>
    <x v="1"/>
    <n v="30.5"/>
    <x v="0"/>
    <x v="1"/>
    <x v="0"/>
    <n v="2494.02"/>
    <x v="1"/>
  </r>
  <r>
    <x v="45"/>
    <x v="1"/>
    <n v="44.8"/>
    <x v="1"/>
    <x v="1"/>
    <x v="1"/>
    <n v="9058.73"/>
    <x v="2"/>
  </r>
  <r>
    <x v="1"/>
    <x v="0"/>
    <n v="32.1"/>
    <x v="3"/>
    <x v="1"/>
    <x v="1"/>
    <n v="2801.26"/>
    <x v="0"/>
  </r>
  <r>
    <x v="0"/>
    <x v="0"/>
    <n v="30.5"/>
    <x v="0"/>
    <x v="1"/>
    <x v="2"/>
    <n v="2128.4299999999998"/>
    <x v="0"/>
  </r>
  <r>
    <x v="25"/>
    <x v="0"/>
    <n v="40.6"/>
    <x v="1"/>
    <x v="1"/>
    <x v="2"/>
    <n v="6373.56"/>
    <x v="1"/>
  </r>
  <r>
    <x v="24"/>
    <x v="1"/>
    <n v="30.6"/>
    <x v="3"/>
    <x v="1"/>
    <x v="2"/>
    <n v="7256.72"/>
    <x v="2"/>
  </r>
  <r>
    <x v="41"/>
    <x v="0"/>
    <n v="31.9"/>
    <x v="4"/>
    <x v="1"/>
    <x v="0"/>
    <n v="11552.9"/>
    <x v="2"/>
  </r>
  <r>
    <x v="28"/>
    <x v="1"/>
    <n v="40.6"/>
    <x v="3"/>
    <x v="0"/>
    <x v="2"/>
    <n v="45702.02"/>
    <x v="2"/>
  </r>
  <r>
    <x v="5"/>
    <x v="0"/>
    <n v="29.1"/>
    <x v="0"/>
    <x v="1"/>
    <x v="0"/>
    <n v="3761.29"/>
    <x v="1"/>
  </r>
  <r>
    <x v="1"/>
    <x v="0"/>
    <n v="37.299999999999997"/>
    <x v="1"/>
    <x v="1"/>
    <x v="1"/>
    <n v="2219.4499999999998"/>
    <x v="0"/>
  </r>
  <r>
    <x v="15"/>
    <x v="0"/>
    <n v="43.1"/>
    <x v="3"/>
    <x v="1"/>
    <x v="1"/>
    <n v="4753.6400000000003"/>
    <x v="1"/>
  </r>
  <r>
    <x v="10"/>
    <x v="0"/>
    <n v="36.9"/>
    <x v="1"/>
    <x v="1"/>
    <x v="3"/>
    <n v="31620"/>
    <x v="3"/>
  </r>
  <r>
    <x v="37"/>
    <x v="0"/>
    <n v="34.299999999999997"/>
    <x v="3"/>
    <x v="1"/>
    <x v="3"/>
    <n v="13224.06"/>
    <x v="2"/>
  </r>
  <r>
    <x v="30"/>
    <x v="0"/>
    <n v="27.2"/>
    <x v="0"/>
    <x v="1"/>
    <x v="2"/>
    <n v="12222.9"/>
    <x v="2"/>
  </r>
  <r>
    <x v="20"/>
    <x v="1"/>
    <n v="26.8"/>
    <x v="0"/>
    <x v="1"/>
    <x v="1"/>
    <n v="1665"/>
    <x v="1"/>
  </r>
  <r>
    <x v="5"/>
    <x v="0"/>
    <n v="38.1"/>
    <x v="1"/>
    <x v="0"/>
    <x v="3"/>
    <n v="58571.07"/>
    <x v="1"/>
  </r>
  <r>
    <x v="14"/>
    <x v="1"/>
    <n v="30.2"/>
    <x v="1"/>
    <x v="1"/>
    <x v="0"/>
    <n v="9724.5300000000007"/>
    <x v="2"/>
  </r>
  <r>
    <x v="9"/>
    <x v="0"/>
    <n v="23.5"/>
    <x v="0"/>
    <x v="1"/>
    <x v="3"/>
    <n v="3206.49"/>
    <x v="1"/>
  </r>
  <r>
    <x v="17"/>
    <x v="1"/>
    <n v="25.5"/>
    <x v="1"/>
    <x v="1"/>
    <x v="3"/>
    <n v="12913.99"/>
    <x v="2"/>
  </r>
  <r>
    <x v="0"/>
    <x v="1"/>
    <n v="30.6"/>
    <x v="0"/>
    <x v="1"/>
    <x v="2"/>
    <n v="1639.56"/>
    <x v="0"/>
  </r>
  <r>
    <x v="46"/>
    <x v="1"/>
    <n v="45.4"/>
    <x v="3"/>
    <x v="1"/>
    <x v="1"/>
    <n v="6356.27"/>
    <x v="1"/>
  </r>
  <r>
    <x v="4"/>
    <x v="0"/>
    <n v="23.7"/>
    <x v="1"/>
    <x v="1"/>
    <x v="1"/>
    <n v="17626.240000000002"/>
    <x v="1"/>
  </r>
  <r>
    <x v="0"/>
    <x v="1"/>
    <n v="20.7"/>
    <x v="0"/>
    <x v="1"/>
    <x v="0"/>
    <n v="1242.82"/>
    <x v="0"/>
  </r>
  <r>
    <x v="3"/>
    <x v="0"/>
    <n v="28.3"/>
    <x v="1"/>
    <x v="1"/>
    <x v="1"/>
    <n v="4779.6000000000004"/>
    <x v="1"/>
  </r>
  <r>
    <x v="27"/>
    <x v="1"/>
    <n v="20.2"/>
    <x v="2"/>
    <x v="1"/>
    <x v="3"/>
    <n v="3861.21"/>
    <x v="1"/>
  </r>
  <r>
    <x v="16"/>
    <x v="0"/>
    <n v="30.2"/>
    <x v="1"/>
    <x v="0"/>
    <x v="2"/>
    <n v="43943.88"/>
    <x v="1"/>
  </r>
  <r>
    <x v="35"/>
    <x v="0"/>
    <n v="35.9"/>
    <x v="0"/>
    <x v="1"/>
    <x v="3"/>
    <n v="13635.64"/>
    <x v="3"/>
  </r>
  <r>
    <x v="25"/>
    <x v="0"/>
    <n v="30.7"/>
    <x v="1"/>
    <x v="1"/>
    <x v="1"/>
    <n v="5976.83"/>
    <x v="1"/>
  </r>
  <r>
    <x v="30"/>
    <x v="0"/>
    <n v="29"/>
    <x v="0"/>
    <x v="1"/>
    <x v="0"/>
    <n v="11842.44"/>
    <x v="2"/>
  </r>
  <r>
    <x v="42"/>
    <x v="1"/>
    <n v="19.600000000000001"/>
    <x v="1"/>
    <x v="1"/>
    <x v="2"/>
    <n v="8428.07"/>
    <x v="2"/>
  </r>
  <r>
    <x v="34"/>
    <x v="1"/>
    <n v="31.1"/>
    <x v="3"/>
    <x v="1"/>
    <x v="1"/>
    <n v="2566.4699999999998"/>
    <x v="1"/>
  </r>
  <r>
    <x v="27"/>
    <x v="0"/>
    <n v="21.9"/>
    <x v="1"/>
    <x v="0"/>
    <x v="3"/>
    <n v="15359.1"/>
    <x v="1"/>
  </r>
  <r>
    <x v="24"/>
    <x v="1"/>
    <n v="40.299999999999997"/>
    <x v="0"/>
    <x v="1"/>
    <x v="1"/>
    <n v="5709.16"/>
    <x v="2"/>
  </r>
  <r>
    <x v="6"/>
    <x v="0"/>
    <n v="33.700000000000003"/>
    <x v="1"/>
    <x v="1"/>
    <x v="3"/>
    <n v="8823.99"/>
    <x v="2"/>
  </r>
  <r>
    <x v="44"/>
    <x v="0"/>
    <n v="29.5"/>
    <x v="3"/>
    <x v="1"/>
    <x v="1"/>
    <n v="7640.31"/>
    <x v="2"/>
  </r>
  <r>
    <x v="16"/>
    <x v="0"/>
    <n v="33.299999999999997"/>
    <x v="1"/>
    <x v="1"/>
    <x v="3"/>
    <n v="5594.85"/>
    <x v="1"/>
  </r>
  <r>
    <x v="32"/>
    <x v="1"/>
    <n v="32.6"/>
    <x v="3"/>
    <x v="1"/>
    <x v="0"/>
    <n v="7441.5"/>
    <x v="2"/>
  </r>
  <r>
    <x v="14"/>
    <x v="0"/>
    <n v="37.5"/>
    <x v="3"/>
    <x v="1"/>
    <x v="2"/>
    <n v="33471.97"/>
    <x v="2"/>
  </r>
  <r>
    <x v="1"/>
    <x v="0"/>
    <n v="39.200000000000003"/>
    <x v="0"/>
    <x v="1"/>
    <x v="1"/>
    <n v="1633.04"/>
    <x v="0"/>
  </r>
  <r>
    <x v="43"/>
    <x v="1"/>
    <n v="31.6"/>
    <x v="0"/>
    <x v="1"/>
    <x v="2"/>
    <n v="9174.14"/>
    <x v="2"/>
  </r>
  <r>
    <x v="12"/>
    <x v="0"/>
    <n v="25.3"/>
    <x v="0"/>
    <x v="1"/>
    <x v="0"/>
    <n v="11070.54"/>
    <x v="2"/>
  </r>
  <r>
    <x v="33"/>
    <x v="0"/>
    <n v="39.1"/>
    <x v="2"/>
    <x v="1"/>
    <x v="1"/>
    <n v="16085.13"/>
    <x v="3"/>
  </r>
  <r>
    <x v="0"/>
    <x v="0"/>
    <n v="28.3"/>
    <x v="0"/>
    <x v="0"/>
    <x v="2"/>
    <n v="17468.98"/>
    <x v="0"/>
  </r>
  <r>
    <x v="43"/>
    <x v="0"/>
    <n v="34.1"/>
    <x v="0"/>
    <x v="1"/>
    <x v="1"/>
    <n v="9283.56"/>
    <x v="2"/>
  </r>
  <r>
    <x v="13"/>
    <x v="0"/>
    <n v="25.2"/>
    <x v="0"/>
    <x v="1"/>
    <x v="3"/>
    <n v="3558.62"/>
    <x v="1"/>
  </r>
  <r>
    <x v="17"/>
    <x v="0"/>
    <n v="23.7"/>
    <x v="0"/>
    <x v="0"/>
    <x v="2"/>
    <n v="25678.78"/>
    <x v="2"/>
  </r>
  <r>
    <x v="2"/>
    <x v="1"/>
    <n v="27"/>
    <x v="3"/>
    <x v="1"/>
    <x v="3"/>
    <n v="4435.09"/>
    <x v="1"/>
  </r>
  <r>
    <x v="15"/>
    <x v="1"/>
    <n v="37.799999999999997"/>
    <x v="3"/>
    <x v="0"/>
    <x v="0"/>
    <n v="39241.440000000002"/>
    <x v="1"/>
  </r>
  <r>
    <x v="42"/>
    <x v="0"/>
    <n v="29.4"/>
    <x v="1"/>
    <x v="1"/>
    <x v="1"/>
    <n v="8547.69"/>
    <x v="2"/>
  </r>
  <r>
    <x v="25"/>
    <x v="0"/>
    <n v="34.799999999999997"/>
    <x v="3"/>
    <x v="1"/>
    <x v="0"/>
    <n v="6571.54"/>
    <x v="1"/>
  </r>
  <r>
    <x v="1"/>
    <x v="0"/>
    <n v="33.200000000000003"/>
    <x v="0"/>
    <x v="1"/>
    <x v="3"/>
    <n v="2207.6999999999998"/>
    <x v="0"/>
  </r>
  <r>
    <x v="16"/>
    <x v="0"/>
    <n v="19"/>
    <x v="2"/>
    <x v="1"/>
    <x v="3"/>
    <n v="6753.04"/>
    <x v="1"/>
  </r>
  <r>
    <x v="34"/>
    <x v="0"/>
    <n v="33"/>
    <x v="0"/>
    <x v="1"/>
    <x v="1"/>
    <n v="1880.07"/>
    <x v="1"/>
  </r>
  <r>
    <x v="42"/>
    <x v="0"/>
    <n v="36.6"/>
    <x v="1"/>
    <x v="0"/>
    <x v="1"/>
    <n v="42969.85"/>
    <x v="2"/>
  </r>
  <r>
    <x v="12"/>
    <x v="0"/>
    <n v="28.6"/>
    <x v="0"/>
    <x v="1"/>
    <x v="3"/>
    <n v="11658.12"/>
    <x v="2"/>
  </r>
  <r>
    <x v="41"/>
    <x v="1"/>
    <n v="25.6"/>
    <x v="3"/>
    <x v="0"/>
    <x v="0"/>
    <n v="23306.55"/>
    <x v="2"/>
  </r>
  <r>
    <x v="0"/>
    <x v="0"/>
    <n v="33.1"/>
    <x v="0"/>
    <x v="0"/>
    <x v="1"/>
    <n v="34439.86"/>
    <x v="0"/>
  </r>
  <r>
    <x v="19"/>
    <x v="0"/>
    <n v="37.1"/>
    <x v="0"/>
    <x v="1"/>
    <x v="0"/>
    <n v="10713.64"/>
    <x v="2"/>
  </r>
  <r>
    <x v="15"/>
    <x v="1"/>
    <n v="31.4"/>
    <x v="1"/>
    <x v="1"/>
    <x v="0"/>
    <n v="3659.35"/>
    <x v="1"/>
  </r>
  <r>
    <x v="7"/>
    <x v="1"/>
    <n v="34.1"/>
    <x v="5"/>
    <x v="0"/>
    <x v="0"/>
    <n v="40182.25"/>
    <x v="1"/>
  </r>
  <r>
    <x v="41"/>
    <x v="0"/>
    <n v="21.3"/>
    <x v="1"/>
    <x v="1"/>
    <x v="0"/>
    <n v="9182.17"/>
    <x v="2"/>
  </r>
  <r>
    <x v="1"/>
    <x v="1"/>
    <n v="33.5"/>
    <x v="0"/>
    <x v="0"/>
    <x v="3"/>
    <n v="34617.839999999997"/>
    <x v="0"/>
  </r>
  <r>
    <x v="17"/>
    <x v="1"/>
    <n v="28.8"/>
    <x v="0"/>
    <x v="1"/>
    <x v="2"/>
    <n v="12129.61"/>
    <x v="2"/>
  </r>
  <r>
    <x v="38"/>
    <x v="0"/>
    <n v="26"/>
    <x v="0"/>
    <x v="1"/>
    <x v="2"/>
    <n v="3736.46"/>
    <x v="1"/>
  </r>
  <r>
    <x v="26"/>
    <x v="1"/>
    <n v="28.9"/>
    <x v="2"/>
    <x v="1"/>
    <x v="3"/>
    <n v="6748.59"/>
    <x v="1"/>
  </r>
  <r>
    <x v="3"/>
    <x v="1"/>
    <n v="42.5"/>
    <x v="1"/>
    <x v="1"/>
    <x v="1"/>
    <n v="11326.71"/>
    <x v="1"/>
  </r>
  <r>
    <x v="30"/>
    <x v="1"/>
    <n v="38"/>
    <x v="0"/>
    <x v="1"/>
    <x v="0"/>
    <n v="11365.95"/>
    <x v="2"/>
  </r>
  <r>
    <x v="36"/>
    <x v="0"/>
    <n v="39"/>
    <x v="0"/>
    <x v="0"/>
    <x v="2"/>
    <n v="42983.46"/>
    <x v="2"/>
  </r>
  <r>
    <x v="31"/>
    <x v="1"/>
    <n v="36.1"/>
    <x v="1"/>
    <x v="1"/>
    <x v="0"/>
    <n v="10085.85"/>
    <x v="2"/>
  </r>
  <r>
    <x v="23"/>
    <x v="1"/>
    <n v="29.3"/>
    <x v="0"/>
    <x v="1"/>
    <x v="0"/>
    <n v="1977.82"/>
    <x v="1"/>
  </r>
  <r>
    <x v="38"/>
    <x v="0"/>
    <n v="35.5"/>
    <x v="0"/>
    <x v="1"/>
    <x v="1"/>
    <n v="3366.67"/>
    <x v="1"/>
  </r>
  <r>
    <x v="29"/>
    <x v="1"/>
    <n v="22.7"/>
    <x v="3"/>
    <x v="1"/>
    <x v="3"/>
    <n v="7173.36"/>
    <x v="2"/>
  </r>
  <r>
    <x v="43"/>
    <x v="1"/>
    <n v="39.700000000000003"/>
    <x v="1"/>
    <x v="1"/>
    <x v="0"/>
    <n v="9391.35"/>
    <x v="2"/>
  </r>
  <r>
    <x v="33"/>
    <x v="1"/>
    <n v="38.200000000000003"/>
    <x v="0"/>
    <x v="1"/>
    <x v="3"/>
    <n v="14410.93"/>
    <x v="3"/>
  </r>
  <r>
    <x v="0"/>
    <x v="0"/>
    <n v="24.5"/>
    <x v="1"/>
    <x v="1"/>
    <x v="2"/>
    <n v="2709.11"/>
    <x v="0"/>
  </r>
  <r>
    <x v="22"/>
    <x v="0"/>
    <n v="38.1"/>
    <x v="3"/>
    <x v="1"/>
    <x v="3"/>
    <n v="24915.05"/>
    <x v="1"/>
  </r>
  <r>
    <x v="46"/>
    <x v="1"/>
    <n v="26.4"/>
    <x v="0"/>
    <x v="0"/>
    <x v="3"/>
    <n v="20149.32"/>
    <x v="1"/>
  </r>
  <r>
    <x v="12"/>
    <x v="1"/>
    <n v="33.700000000000003"/>
    <x v="5"/>
    <x v="1"/>
    <x v="1"/>
    <n v="12949.16"/>
    <x v="2"/>
  </r>
  <r>
    <x v="3"/>
    <x v="1"/>
    <n v="42.4"/>
    <x v="4"/>
    <x v="1"/>
    <x v="0"/>
    <n v="6666.24"/>
    <x v="1"/>
  </r>
  <r>
    <x v="44"/>
    <x v="1"/>
    <n v="28.3"/>
    <x v="2"/>
    <x v="0"/>
    <x v="2"/>
    <n v="32787.46"/>
    <x v="2"/>
  </r>
  <r>
    <x v="35"/>
    <x v="1"/>
    <n v="33.9"/>
    <x v="0"/>
    <x v="1"/>
    <x v="3"/>
    <n v="13143.86"/>
    <x v="3"/>
  </r>
  <r>
    <x v="11"/>
    <x v="0"/>
    <n v="35"/>
    <x v="2"/>
    <x v="1"/>
    <x v="2"/>
    <n v="4466.62"/>
    <x v="1"/>
  </r>
  <r>
    <x v="32"/>
    <x v="1"/>
    <n v="35.299999999999997"/>
    <x v="3"/>
    <x v="1"/>
    <x v="1"/>
    <n v="18806.150000000001"/>
    <x v="2"/>
  </r>
  <r>
    <x v="28"/>
    <x v="1"/>
    <n v="30.8"/>
    <x v="2"/>
    <x v="1"/>
    <x v="3"/>
    <n v="10141.14"/>
    <x v="2"/>
  </r>
  <r>
    <x v="46"/>
    <x v="1"/>
    <n v="26.2"/>
    <x v="1"/>
    <x v="1"/>
    <x v="2"/>
    <n v="6123.57"/>
    <x v="1"/>
  </r>
  <r>
    <x v="29"/>
    <x v="0"/>
    <n v="23.4"/>
    <x v="2"/>
    <x v="1"/>
    <x v="3"/>
    <n v="8252.2800000000007"/>
    <x v="2"/>
  </r>
  <r>
    <x v="1"/>
    <x v="1"/>
    <n v="28.5"/>
    <x v="0"/>
    <x v="1"/>
    <x v="3"/>
    <n v="1712.23"/>
    <x v="0"/>
  </r>
  <r>
    <x v="30"/>
    <x v="0"/>
    <n v="33"/>
    <x v="0"/>
    <x v="1"/>
    <x v="3"/>
    <n v="12430.95"/>
    <x v="2"/>
  </r>
  <r>
    <x v="41"/>
    <x v="0"/>
    <n v="42.7"/>
    <x v="3"/>
    <x v="1"/>
    <x v="1"/>
    <n v="9800.89"/>
    <x v="2"/>
  </r>
  <r>
    <x v="31"/>
    <x v="0"/>
    <n v="39.6"/>
    <x v="1"/>
    <x v="1"/>
    <x v="1"/>
    <n v="10579.71"/>
    <x v="2"/>
  </r>
  <r>
    <x v="28"/>
    <x v="0"/>
    <n v="31.1"/>
    <x v="0"/>
    <x v="1"/>
    <x v="1"/>
    <n v="8280.6200000000008"/>
    <x v="2"/>
  </r>
  <r>
    <x v="39"/>
    <x v="0"/>
    <n v="36.299999999999997"/>
    <x v="3"/>
    <x v="1"/>
    <x v="1"/>
    <n v="8527.5300000000007"/>
    <x v="2"/>
  </r>
  <r>
    <x v="17"/>
    <x v="0"/>
    <n v="35.200000000000003"/>
    <x v="0"/>
    <x v="1"/>
    <x v="1"/>
    <n v="12244.53"/>
    <x v="2"/>
  </r>
  <r>
    <x v="14"/>
    <x v="0"/>
    <n v="25.3"/>
    <x v="3"/>
    <x v="0"/>
    <x v="1"/>
    <n v="24667.42"/>
    <x v="2"/>
  </r>
  <r>
    <x v="21"/>
    <x v="0"/>
    <n v="42.4"/>
    <x v="1"/>
    <x v="1"/>
    <x v="0"/>
    <n v="3410.32"/>
    <x v="1"/>
  </r>
  <r>
    <x v="13"/>
    <x v="1"/>
    <n v="33.200000000000003"/>
    <x v="3"/>
    <x v="1"/>
    <x v="2"/>
    <n v="4058.71"/>
    <x v="1"/>
  </r>
  <r>
    <x v="28"/>
    <x v="0"/>
    <n v="35.9"/>
    <x v="1"/>
    <x v="1"/>
    <x v="3"/>
    <n v="26392.26"/>
    <x v="2"/>
  </r>
  <r>
    <x v="37"/>
    <x v="0"/>
    <n v="28.8"/>
    <x v="5"/>
    <x v="1"/>
    <x v="3"/>
    <n v="14394.4"/>
    <x v="2"/>
  </r>
  <r>
    <x v="7"/>
    <x v="1"/>
    <n v="46.5"/>
    <x v="2"/>
    <x v="1"/>
    <x v="1"/>
    <n v="6435.62"/>
    <x v="1"/>
  </r>
  <r>
    <x v="37"/>
    <x v="0"/>
    <n v="24"/>
    <x v="1"/>
    <x v="1"/>
    <x v="1"/>
    <n v="22192.44"/>
    <x v="2"/>
  </r>
  <r>
    <x v="4"/>
    <x v="0"/>
    <n v="31.5"/>
    <x v="1"/>
    <x v="1"/>
    <x v="3"/>
    <n v="5148.55"/>
    <x v="1"/>
  </r>
  <r>
    <x v="1"/>
    <x v="1"/>
    <n v="33.700000000000003"/>
    <x v="0"/>
    <x v="1"/>
    <x v="1"/>
    <n v="1136.4000000000001"/>
    <x v="0"/>
  </r>
  <r>
    <x v="33"/>
    <x v="0"/>
    <n v="23"/>
    <x v="0"/>
    <x v="0"/>
    <x v="1"/>
    <n v="27037.91"/>
    <x v="3"/>
  </r>
  <r>
    <x v="32"/>
    <x v="1"/>
    <n v="38.1"/>
    <x v="3"/>
    <x v="0"/>
    <x v="1"/>
    <n v="42560.43"/>
    <x v="2"/>
  </r>
  <r>
    <x v="41"/>
    <x v="1"/>
    <n v="28.7"/>
    <x v="1"/>
    <x v="1"/>
    <x v="0"/>
    <n v="8703.4599999999991"/>
    <x v="2"/>
  </r>
  <r>
    <x v="29"/>
    <x v="0"/>
    <n v="32.799999999999997"/>
    <x v="3"/>
    <x v="0"/>
    <x v="2"/>
    <n v="40003.33"/>
    <x v="2"/>
  </r>
  <r>
    <x v="10"/>
    <x v="1"/>
    <n v="32"/>
    <x v="0"/>
    <x v="0"/>
    <x v="3"/>
    <n v="45710.21"/>
    <x v="3"/>
  </r>
  <r>
    <x v="29"/>
    <x v="0"/>
    <n v="29.8"/>
    <x v="1"/>
    <x v="1"/>
    <x v="1"/>
    <n v="6500.24"/>
    <x v="2"/>
  </r>
  <r>
    <x v="15"/>
    <x v="1"/>
    <n v="31.6"/>
    <x v="2"/>
    <x v="1"/>
    <x v="1"/>
    <n v="4837.58"/>
    <x v="1"/>
  </r>
  <r>
    <x v="38"/>
    <x v="0"/>
    <n v="31.2"/>
    <x v="0"/>
    <x v="1"/>
    <x v="3"/>
    <n v="3943.6"/>
    <x v="1"/>
  </r>
  <r>
    <x v="26"/>
    <x v="1"/>
    <n v="29.7"/>
    <x v="0"/>
    <x v="1"/>
    <x v="1"/>
    <n v="4399.7299999999996"/>
    <x v="1"/>
  </r>
  <r>
    <x v="24"/>
    <x v="0"/>
    <n v="31"/>
    <x v="0"/>
    <x v="1"/>
    <x v="1"/>
    <n v="6185.32"/>
    <x v="2"/>
  </r>
  <r>
    <x v="36"/>
    <x v="0"/>
    <n v="43.9"/>
    <x v="3"/>
    <x v="0"/>
    <x v="1"/>
    <n v="46200.99"/>
    <x v="2"/>
  </r>
  <r>
    <x v="39"/>
    <x v="1"/>
    <n v="21.4"/>
    <x v="0"/>
    <x v="1"/>
    <x v="2"/>
    <n v="7222.79"/>
    <x v="2"/>
  </r>
  <r>
    <x v="19"/>
    <x v="0"/>
    <n v="40.799999999999997"/>
    <x v="2"/>
    <x v="1"/>
    <x v="1"/>
    <n v="12485.8"/>
    <x v="2"/>
  </r>
  <r>
    <x v="8"/>
    <x v="1"/>
    <n v="31.4"/>
    <x v="2"/>
    <x v="0"/>
    <x v="2"/>
    <n v="46130.53"/>
    <x v="3"/>
  </r>
  <r>
    <x v="12"/>
    <x v="1"/>
    <n v="36.1"/>
    <x v="2"/>
    <x v="1"/>
    <x v="0"/>
    <n v="12363.55"/>
    <x v="2"/>
  </r>
  <r>
    <x v="41"/>
    <x v="0"/>
    <n v="23.2"/>
    <x v="3"/>
    <x v="1"/>
    <x v="2"/>
    <n v="10156.780000000001"/>
    <x v="2"/>
  </r>
  <r>
    <x v="27"/>
    <x v="0"/>
    <n v="17.399999999999999"/>
    <x v="1"/>
    <x v="1"/>
    <x v="0"/>
    <n v="2585.27"/>
    <x v="1"/>
  </r>
  <r>
    <x v="0"/>
    <x v="1"/>
    <n v="20.3"/>
    <x v="0"/>
    <x v="1"/>
    <x v="0"/>
    <n v="1242.26"/>
    <x v="0"/>
  </r>
  <r>
    <x v="46"/>
    <x v="1"/>
    <n v="35.299999999999997"/>
    <x v="3"/>
    <x v="0"/>
    <x v="0"/>
    <n v="40103.89"/>
    <x v="1"/>
  </r>
  <r>
    <x v="31"/>
    <x v="1"/>
    <n v="24.3"/>
    <x v="0"/>
    <x v="1"/>
    <x v="2"/>
    <n v="9863.4699999999993"/>
    <x v="2"/>
  </r>
  <r>
    <x v="3"/>
    <x v="0"/>
    <n v="18.5"/>
    <x v="1"/>
    <x v="1"/>
    <x v="0"/>
    <n v="4766.0200000000004"/>
    <x v="1"/>
  </r>
  <r>
    <x v="31"/>
    <x v="1"/>
    <n v="26.4"/>
    <x v="3"/>
    <x v="1"/>
    <x v="3"/>
    <n v="11244.38"/>
    <x v="2"/>
  </r>
  <r>
    <x v="44"/>
    <x v="1"/>
    <n v="26.1"/>
    <x v="3"/>
    <x v="1"/>
    <x v="3"/>
    <n v="7729.65"/>
    <x v="2"/>
  </r>
  <r>
    <x v="29"/>
    <x v="1"/>
    <n v="41.7"/>
    <x v="0"/>
    <x v="1"/>
    <x v="1"/>
    <n v="5438.75"/>
    <x v="2"/>
  </r>
  <r>
    <x v="42"/>
    <x v="0"/>
    <n v="24.1"/>
    <x v="1"/>
    <x v="1"/>
    <x v="0"/>
    <n v="26236.58"/>
    <x v="2"/>
  </r>
  <r>
    <x v="13"/>
    <x v="1"/>
    <n v="31.1"/>
    <x v="1"/>
    <x v="0"/>
    <x v="1"/>
    <n v="34806.47"/>
    <x v="1"/>
  </r>
  <r>
    <x v="27"/>
    <x v="1"/>
    <n v="27.4"/>
    <x v="0"/>
    <x v="1"/>
    <x v="3"/>
    <n v="2104.11"/>
    <x v="1"/>
  </r>
  <r>
    <x v="42"/>
    <x v="1"/>
    <n v="36.200000000000003"/>
    <x v="1"/>
    <x v="1"/>
    <x v="0"/>
    <n v="8068.19"/>
    <x v="2"/>
  </r>
  <r>
    <x v="34"/>
    <x v="1"/>
    <n v="32.4"/>
    <x v="1"/>
    <x v="1"/>
    <x v="2"/>
    <n v="2362.23"/>
    <x v="1"/>
  </r>
  <r>
    <x v="23"/>
    <x v="1"/>
    <n v="23.7"/>
    <x v="0"/>
    <x v="1"/>
    <x v="2"/>
    <n v="2352.9699999999998"/>
    <x v="1"/>
  </r>
  <r>
    <x v="13"/>
    <x v="0"/>
    <n v="34.799999999999997"/>
    <x v="1"/>
    <x v="1"/>
    <x v="0"/>
    <n v="3578"/>
    <x v="1"/>
  </r>
  <r>
    <x v="21"/>
    <x v="0"/>
    <n v="40.200000000000003"/>
    <x v="0"/>
    <x v="1"/>
    <x v="2"/>
    <n v="3201.25"/>
    <x v="1"/>
  </r>
  <r>
    <x v="31"/>
    <x v="0"/>
    <n v="32.299999999999997"/>
    <x v="3"/>
    <x v="1"/>
    <x v="3"/>
    <n v="29186.48"/>
    <x v="2"/>
  </r>
  <r>
    <x v="24"/>
    <x v="1"/>
    <n v="35.799999999999997"/>
    <x v="1"/>
    <x v="0"/>
    <x v="1"/>
    <n v="40273.65"/>
    <x v="2"/>
  </r>
  <r>
    <x v="12"/>
    <x v="1"/>
    <n v="33.700000000000003"/>
    <x v="0"/>
    <x v="1"/>
    <x v="2"/>
    <n v="10976.25"/>
    <x v="2"/>
  </r>
  <r>
    <x v="11"/>
    <x v="0"/>
    <n v="39.299999999999997"/>
    <x v="3"/>
    <x v="1"/>
    <x v="1"/>
    <n v="3500.61"/>
    <x v="1"/>
  </r>
  <r>
    <x v="27"/>
    <x v="0"/>
    <n v="34.9"/>
    <x v="0"/>
    <x v="1"/>
    <x v="1"/>
    <n v="2020.55"/>
    <x v="1"/>
  </r>
  <r>
    <x v="45"/>
    <x v="0"/>
    <n v="44.7"/>
    <x v="0"/>
    <x v="1"/>
    <x v="3"/>
    <n v="9541.7000000000007"/>
    <x v="2"/>
  </r>
  <r>
    <x v="31"/>
    <x v="1"/>
    <n v="41.5"/>
    <x v="0"/>
    <x v="1"/>
    <x v="1"/>
    <n v="9504.31"/>
    <x v="2"/>
  </r>
  <r>
    <x v="16"/>
    <x v="0"/>
    <n v="26.4"/>
    <x v="1"/>
    <x v="1"/>
    <x v="2"/>
    <n v="5385.34"/>
    <x v="1"/>
  </r>
  <r>
    <x v="42"/>
    <x v="0"/>
    <n v="29.5"/>
    <x v="1"/>
    <x v="1"/>
    <x v="2"/>
    <n v="8930.93"/>
    <x v="2"/>
  </r>
  <r>
    <x v="3"/>
    <x v="0"/>
    <n v="32.9"/>
    <x v="3"/>
    <x v="1"/>
    <x v="0"/>
    <n v="5375.04"/>
    <x v="1"/>
  </r>
  <r>
    <x v="43"/>
    <x v="0"/>
    <n v="38.1"/>
    <x v="0"/>
    <x v="0"/>
    <x v="1"/>
    <n v="44400.41"/>
    <x v="2"/>
  </r>
  <r>
    <x v="41"/>
    <x v="1"/>
    <n v="28.7"/>
    <x v="2"/>
    <x v="1"/>
    <x v="2"/>
    <n v="10264.44"/>
    <x v="2"/>
  </r>
  <r>
    <x v="5"/>
    <x v="0"/>
    <n v="30.5"/>
    <x v="2"/>
    <x v="1"/>
    <x v="3"/>
    <n v="6113.23"/>
    <x v="1"/>
  </r>
  <r>
    <x v="26"/>
    <x v="0"/>
    <n v="27.7"/>
    <x v="0"/>
    <x v="1"/>
    <x v="3"/>
    <n v="5469.01"/>
    <x v="1"/>
  </r>
  <r>
    <x v="1"/>
    <x v="1"/>
    <n v="35.200000000000003"/>
    <x v="1"/>
    <x v="1"/>
    <x v="1"/>
    <n v="1727.54"/>
    <x v="0"/>
  </r>
  <r>
    <x v="45"/>
    <x v="0"/>
    <n v="23.5"/>
    <x v="3"/>
    <x v="1"/>
    <x v="1"/>
    <n v="10107.219999999999"/>
    <x v="2"/>
  </r>
  <r>
    <x v="32"/>
    <x v="0"/>
    <n v="30.7"/>
    <x v="3"/>
    <x v="1"/>
    <x v="2"/>
    <n v="8310.84"/>
    <x v="2"/>
  </r>
  <r>
    <x v="34"/>
    <x v="1"/>
    <n v="40.5"/>
    <x v="0"/>
    <x v="1"/>
    <x v="3"/>
    <n v="1984.45"/>
    <x v="1"/>
  </r>
  <r>
    <x v="23"/>
    <x v="0"/>
    <n v="22.6"/>
    <x v="0"/>
    <x v="1"/>
    <x v="0"/>
    <n v="2457.5"/>
    <x v="1"/>
  </r>
  <r>
    <x v="8"/>
    <x v="1"/>
    <n v="28.9"/>
    <x v="0"/>
    <x v="1"/>
    <x v="0"/>
    <n v="12146.97"/>
    <x v="3"/>
  </r>
  <r>
    <x v="41"/>
    <x v="0"/>
    <n v="22.6"/>
    <x v="1"/>
    <x v="1"/>
    <x v="2"/>
    <n v="9566.99"/>
    <x v="2"/>
  </r>
  <r>
    <x v="8"/>
    <x v="1"/>
    <n v="24.3"/>
    <x v="1"/>
    <x v="1"/>
    <x v="2"/>
    <n v="13112.6"/>
    <x v="3"/>
  </r>
  <r>
    <x v="43"/>
    <x v="0"/>
    <n v="36.700000000000003"/>
    <x v="3"/>
    <x v="1"/>
    <x v="2"/>
    <n v="10848.13"/>
    <x v="2"/>
  </r>
  <r>
    <x v="30"/>
    <x v="0"/>
    <n v="33.4"/>
    <x v="0"/>
    <x v="1"/>
    <x v="2"/>
    <n v="12231.61"/>
    <x v="2"/>
  </r>
  <r>
    <x v="43"/>
    <x v="0"/>
    <n v="40.700000000000003"/>
    <x v="0"/>
    <x v="1"/>
    <x v="3"/>
    <n v="9875.68"/>
    <x v="2"/>
  </r>
  <r>
    <x v="31"/>
    <x v="1"/>
    <n v="36.6"/>
    <x v="2"/>
    <x v="1"/>
    <x v="0"/>
    <n v="11264.54"/>
    <x v="2"/>
  </r>
  <r>
    <x v="10"/>
    <x v="1"/>
    <n v="37.4"/>
    <x v="0"/>
    <x v="1"/>
    <x v="0"/>
    <n v="12979.36"/>
    <x v="3"/>
  </r>
  <r>
    <x v="0"/>
    <x v="1"/>
    <n v="35.4"/>
    <x v="0"/>
    <x v="1"/>
    <x v="0"/>
    <n v="1263.25"/>
    <x v="0"/>
  </r>
  <r>
    <x v="45"/>
    <x v="0"/>
    <n v="27.1"/>
    <x v="1"/>
    <x v="1"/>
    <x v="3"/>
    <n v="10106.129999999999"/>
    <x v="2"/>
  </r>
  <r>
    <x v="15"/>
    <x v="0"/>
    <n v="39.1"/>
    <x v="2"/>
    <x v="0"/>
    <x v="1"/>
    <n v="40932.43"/>
    <x v="1"/>
  </r>
  <r>
    <x v="24"/>
    <x v="1"/>
    <n v="28.4"/>
    <x v="1"/>
    <x v="1"/>
    <x v="2"/>
    <n v="6664.69"/>
    <x v="2"/>
  </r>
  <r>
    <x v="38"/>
    <x v="0"/>
    <n v="21.8"/>
    <x v="1"/>
    <x v="0"/>
    <x v="3"/>
    <n v="16657.72"/>
    <x v="1"/>
  </r>
  <r>
    <x v="1"/>
    <x v="0"/>
    <n v="40.299999999999997"/>
    <x v="0"/>
    <x v="1"/>
    <x v="3"/>
    <n v="2217.6"/>
    <x v="0"/>
  </r>
  <r>
    <x v="24"/>
    <x v="0"/>
    <n v="36.1"/>
    <x v="1"/>
    <x v="1"/>
    <x v="1"/>
    <n v="6781.35"/>
    <x v="2"/>
  </r>
  <r>
    <x v="22"/>
    <x v="1"/>
    <n v="24.4"/>
    <x v="2"/>
    <x v="0"/>
    <x v="1"/>
    <n v="19362"/>
    <x v="1"/>
  </r>
  <r>
    <x v="31"/>
    <x v="1"/>
    <n v="21.4"/>
    <x v="1"/>
    <x v="1"/>
    <x v="0"/>
    <n v="10065.41"/>
    <x v="2"/>
  </r>
  <r>
    <x v="23"/>
    <x v="0"/>
    <n v="30.1"/>
    <x v="2"/>
    <x v="1"/>
    <x v="0"/>
    <n v="4234.93"/>
    <x v="1"/>
  </r>
  <r>
    <x v="28"/>
    <x v="0"/>
    <n v="27.3"/>
    <x v="1"/>
    <x v="1"/>
    <x v="3"/>
    <n v="9447.25"/>
    <x v="2"/>
  </r>
  <r>
    <x v="17"/>
    <x v="0"/>
    <n v="32.1"/>
    <x v="2"/>
    <x v="1"/>
    <x v="0"/>
    <n v="14007.22"/>
    <x v="2"/>
  </r>
  <r>
    <x v="41"/>
    <x v="0"/>
    <n v="34.799999999999997"/>
    <x v="1"/>
    <x v="1"/>
    <x v="2"/>
    <n v="9583.89"/>
    <x v="2"/>
  </r>
  <r>
    <x v="7"/>
    <x v="0"/>
    <n v="38.4"/>
    <x v="0"/>
    <x v="0"/>
    <x v="1"/>
    <n v="40419.019999999997"/>
    <x v="1"/>
  </r>
  <r>
    <x v="21"/>
    <x v="1"/>
    <n v="23.7"/>
    <x v="3"/>
    <x v="1"/>
    <x v="0"/>
    <n v="3484.33"/>
    <x v="1"/>
  </r>
  <r>
    <x v="11"/>
    <x v="1"/>
    <n v="31.7"/>
    <x v="2"/>
    <x v="0"/>
    <x v="3"/>
    <n v="36189.1"/>
    <x v="1"/>
  </r>
  <r>
    <x v="38"/>
    <x v="1"/>
    <n v="35.5"/>
    <x v="3"/>
    <x v="0"/>
    <x v="0"/>
    <n v="44585.46"/>
    <x v="1"/>
  </r>
  <r>
    <x v="39"/>
    <x v="1"/>
    <n v="24"/>
    <x v="3"/>
    <x v="1"/>
    <x v="3"/>
    <n v="8604.48"/>
    <x v="2"/>
  </r>
  <r>
    <x v="13"/>
    <x v="1"/>
    <n v="29.2"/>
    <x v="0"/>
    <x v="0"/>
    <x v="1"/>
    <n v="18246.5"/>
    <x v="1"/>
  </r>
  <r>
    <x v="31"/>
    <x v="1"/>
    <n v="34.1"/>
    <x v="0"/>
    <x v="0"/>
    <x v="3"/>
    <n v="43254.42"/>
    <x v="2"/>
  </r>
  <r>
    <x v="5"/>
    <x v="0"/>
    <n v="26.6"/>
    <x v="0"/>
    <x v="1"/>
    <x v="1"/>
    <n v="3757.84"/>
    <x v="1"/>
  </r>
  <r>
    <x v="45"/>
    <x v="1"/>
    <n v="26.4"/>
    <x v="0"/>
    <x v="1"/>
    <x v="2"/>
    <n v="8827.2099999999991"/>
    <x v="2"/>
  </r>
  <r>
    <x v="45"/>
    <x v="0"/>
    <n v="30.1"/>
    <x v="1"/>
    <x v="1"/>
    <x v="2"/>
    <n v="9910.36"/>
    <x v="2"/>
  </r>
  <r>
    <x v="16"/>
    <x v="1"/>
    <n v="27"/>
    <x v="3"/>
    <x v="1"/>
    <x v="0"/>
    <n v="11737.85"/>
    <x v="1"/>
  </r>
  <r>
    <x v="0"/>
    <x v="1"/>
    <n v="21.8"/>
    <x v="0"/>
    <x v="1"/>
    <x v="2"/>
    <n v="1627.28"/>
    <x v="0"/>
  </r>
  <r>
    <x v="42"/>
    <x v="0"/>
    <n v="36"/>
    <x v="1"/>
    <x v="1"/>
    <x v="0"/>
    <n v="8556.91"/>
    <x v="2"/>
  </r>
  <r>
    <x v="2"/>
    <x v="1"/>
    <n v="30.9"/>
    <x v="0"/>
    <x v="1"/>
    <x v="2"/>
    <n v="3062.51"/>
    <x v="1"/>
  </r>
  <r>
    <x v="7"/>
    <x v="0"/>
    <n v="26.4"/>
    <x v="0"/>
    <x v="0"/>
    <x v="1"/>
    <n v="19539.240000000002"/>
    <x v="1"/>
  </r>
  <r>
    <x v="27"/>
    <x v="1"/>
    <n v="29"/>
    <x v="0"/>
    <x v="1"/>
    <x v="2"/>
    <n v="1906.36"/>
    <x v="1"/>
  </r>
  <r>
    <x v="33"/>
    <x v="1"/>
    <n v="37.9"/>
    <x v="0"/>
    <x v="1"/>
    <x v="2"/>
    <n v="14210.54"/>
    <x v="3"/>
  </r>
  <r>
    <x v="30"/>
    <x v="0"/>
    <n v="22.8"/>
    <x v="0"/>
    <x v="1"/>
    <x v="1"/>
    <n v="11833.78"/>
    <x v="2"/>
  </r>
  <r>
    <x v="23"/>
    <x v="1"/>
    <n v="33.6"/>
    <x v="5"/>
    <x v="1"/>
    <x v="3"/>
    <n v="17128.43"/>
    <x v="1"/>
  </r>
  <r>
    <x v="5"/>
    <x v="1"/>
    <n v="27.6"/>
    <x v="3"/>
    <x v="1"/>
    <x v="3"/>
    <n v="5031.2700000000004"/>
    <x v="1"/>
  </r>
  <r>
    <x v="46"/>
    <x v="0"/>
    <n v="22.8"/>
    <x v="2"/>
    <x v="1"/>
    <x v="3"/>
    <n v="7985.82"/>
    <x v="1"/>
  </r>
  <r>
    <x v="42"/>
    <x v="0"/>
    <n v="27.8"/>
    <x v="0"/>
    <x v="0"/>
    <x v="1"/>
    <n v="23065.42"/>
    <x v="2"/>
  </r>
  <r>
    <x v="15"/>
    <x v="1"/>
    <n v="37.4"/>
    <x v="2"/>
    <x v="1"/>
    <x v="3"/>
    <n v="5428.73"/>
    <x v="1"/>
  </r>
  <r>
    <x v="1"/>
    <x v="1"/>
    <n v="38.200000000000003"/>
    <x v="0"/>
    <x v="0"/>
    <x v="1"/>
    <n v="36307.800000000003"/>
    <x v="0"/>
  </r>
  <r>
    <x v="20"/>
    <x v="0"/>
    <n v="34.6"/>
    <x v="3"/>
    <x v="1"/>
    <x v="3"/>
    <n v="3925.76"/>
    <x v="1"/>
  </r>
  <r>
    <x v="11"/>
    <x v="1"/>
    <n v="35.200000000000003"/>
    <x v="1"/>
    <x v="1"/>
    <x v="0"/>
    <n v="2416.96"/>
    <x v="1"/>
  </r>
  <r>
    <x v="3"/>
    <x v="1"/>
    <n v="27.1"/>
    <x v="1"/>
    <x v="0"/>
    <x v="0"/>
    <n v="19040.88"/>
    <x v="1"/>
  </r>
  <r>
    <x v="13"/>
    <x v="1"/>
    <n v="26"/>
    <x v="0"/>
    <x v="1"/>
    <x v="3"/>
    <n v="3070.81"/>
    <x v="1"/>
  </r>
  <r>
    <x v="39"/>
    <x v="0"/>
    <n v="25.2"/>
    <x v="3"/>
    <x v="1"/>
    <x v="3"/>
    <n v="9095.07"/>
    <x v="2"/>
  </r>
  <r>
    <x v="37"/>
    <x v="0"/>
    <n v="31.8"/>
    <x v="0"/>
    <x v="1"/>
    <x v="2"/>
    <n v="11842.62"/>
    <x v="2"/>
  </r>
  <r>
    <x v="42"/>
    <x v="1"/>
    <n v="32.299999999999997"/>
    <x v="1"/>
    <x v="1"/>
    <x v="0"/>
    <n v="8062.76"/>
    <x v="2"/>
  </r>
  <r>
    <x v="44"/>
    <x v="0"/>
    <n v="29"/>
    <x v="1"/>
    <x v="1"/>
    <x v="0"/>
    <n v="7050.64"/>
    <x v="2"/>
  </r>
  <r>
    <x v="33"/>
    <x v="0"/>
    <n v="39.700000000000003"/>
    <x v="0"/>
    <x v="1"/>
    <x v="0"/>
    <n v="14319.03"/>
    <x v="3"/>
  </r>
  <r>
    <x v="25"/>
    <x v="0"/>
    <n v="19.5"/>
    <x v="3"/>
    <x v="1"/>
    <x v="2"/>
    <n v="6933.24"/>
    <x v="1"/>
  </r>
  <r>
    <x v="35"/>
    <x v="1"/>
    <n v="36.1"/>
    <x v="2"/>
    <x v="1"/>
    <x v="0"/>
    <n v="27941.29"/>
    <x v="3"/>
  </r>
  <r>
    <x v="31"/>
    <x v="0"/>
    <n v="26.7"/>
    <x v="3"/>
    <x v="1"/>
    <x v="0"/>
    <n v="11150.78"/>
    <x v="2"/>
  </r>
  <r>
    <x v="36"/>
    <x v="0"/>
    <n v="36.5"/>
    <x v="0"/>
    <x v="1"/>
    <x v="3"/>
    <n v="12797.21"/>
    <x v="2"/>
  </r>
  <r>
    <x v="0"/>
    <x v="0"/>
    <n v="28.9"/>
    <x v="0"/>
    <x v="0"/>
    <x v="2"/>
    <n v="17748.509999999998"/>
    <x v="0"/>
  </r>
  <r>
    <x v="24"/>
    <x v="1"/>
    <n v="34.200000000000003"/>
    <x v="3"/>
    <x v="1"/>
    <x v="2"/>
    <n v="7261.74"/>
    <x v="2"/>
  </r>
  <r>
    <x v="43"/>
    <x v="1"/>
    <n v="33.299999999999997"/>
    <x v="2"/>
    <x v="1"/>
    <x v="1"/>
    <n v="10560.49"/>
    <x v="2"/>
  </r>
  <r>
    <x v="29"/>
    <x v="1"/>
    <n v="32.299999999999997"/>
    <x v="3"/>
    <x v="1"/>
    <x v="2"/>
    <n v="6986.7"/>
    <x v="2"/>
  </r>
  <r>
    <x v="39"/>
    <x v="1"/>
    <n v="39.799999999999997"/>
    <x v="0"/>
    <x v="1"/>
    <x v="3"/>
    <n v="7448.4"/>
    <x v="2"/>
  </r>
  <r>
    <x v="22"/>
    <x v="1"/>
    <n v="34.299999999999997"/>
    <x v="2"/>
    <x v="1"/>
    <x v="1"/>
    <n v="5934.38"/>
    <x v="1"/>
  </r>
  <r>
    <x v="31"/>
    <x v="1"/>
    <n v="28.9"/>
    <x v="0"/>
    <x v="1"/>
    <x v="2"/>
    <n v="9869.81"/>
    <x v="2"/>
  </r>
  <r>
    <x v="15"/>
    <x v="1"/>
    <n v="24.4"/>
    <x v="2"/>
    <x v="0"/>
    <x v="0"/>
    <n v="18259.22"/>
    <x v="1"/>
  </r>
  <r>
    <x v="1"/>
    <x v="1"/>
    <n v="41.1"/>
    <x v="0"/>
    <x v="1"/>
    <x v="1"/>
    <n v="1146.8"/>
    <x v="0"/>
  </r>
  <r>
    <x v="43"/>
    <x v="1"/>
    <n v="36"/>
    <x v="1"/>
    <x v="1"/>
    <x v="1"/>
    <n v="9386.16"/>
    <x v="2"/>
  </r>
  <r>
    <x v="45"/>
    <x v="0"/>
    <n v="27.6"/>
    <x v="1"/>
    <x v="0"/>
    <x v="0"/>
    <n v="24520.26"/>
    <x v="2"/>
  </r>
  <r>
    <x v="5"/>
    <x v="0"/>
    <n v="29.3"/>
    <x v="1"/>
    <x v="1"/>
    <x v="1"/>
    <n v="4350.51"/>
    <x v="1"/>
  </r>
  <r>
    <x v="22"/>
    <x v="0"/>
    <n v="27.7"/>
    <x v="2"/>
    <x v="1"/>
    <x v="0"/>
    <n v="6414.18"/>
    <x v="1"/>
  </r>
  <r>
    <x v="8"/>
    <x v="1"/>
    <n v="37"/>
    <x v="0"/>
    <x v="1"/>
    <x v="3"/>
    <n v="12741.17"/>
    <x v="3"/>
  </r>
  <r>
    <x v="27"/>
    <x v="1"/>
    <n v="36.9"/>
    <x v="0"/>
    <x v="1"/>
    <x v="2"/>
    <n v="1917.32"/>
    <x v="1"/>
  </r>
  <r>
    <x v="38"/>
    <x v="1"/>
    <n v="22.5"/>
    <x v="2"/>
    <x v="1"/>
    <x v="3"/>
    <n v="5209.58"/>
    <x v="1"/>
  </r>
  <r>
    <x v="10"/>
    <x v="0"/>
    <n v="29.9"/>
    <x v="0"/>
    <x v="1"/>
    <x v="1"/>
    <n v="13457.96"/>
    <x v="3"/>
  </r>
  <r>
    <x v="46"/>
    <x v="0"/>
    <n v="41.8"/>
    <x v="0"/>
    <x v="1"/>
    <x v="1"/>
    <n v="5662.23"/>
    <x v="1"/>
  </r>
  <r>
    <x v="0"/>
    <x v="1"/>
    <n v="27.6"/>
    <x v="0"/>
    <x v="1"/>
    <x v="0"/>
    <n v="1252.4100000000001"/>
    <x v="0"/>
  </r>
  <r>
    <x v="20"/>
    <x v="0"/>
    <n v="23.2"/>
    <x v="0"/>
    <x v="1"/>
    <x v="3"/>
    <n v="2731.91"/>
    <x v="1"/>
  </r>
  <r>
    <x v="31"/>
    <x v="1"/>
    <n v="20.9"/>
    <x v="0"/>
    <x v="0"/>
    <x v="1"/>
    <n v="21195.82"/>
    <x v="2"/>
  </r>
  <r>
    <x v="46"/>
    <x v="0"/>
    <n v="31.9"/>
    <x v="3"/>
    <x v="1"/>
    <x v="2"/>
    <n v="7209.49"/>
    <x v="1"/>
  </r>
  <r>
    <x v="13"/>
    <x v="1"/>
    <n v="28.5"/>
    <x v="0"/>
    <x v="0"/>
    <x v="2"/>
    <n v="18310.740000000002"/>
    <x v="1"/>
  </r>
  <r>
    <x v="15"/>
    <x v="1"/>
    <n v="44.2"/>
    <x v="3"/>
    <x v="1"/>
    <x v="1"/>
    <n v="4266.17"/>
    <x v="1"/>
  </r>
  <r>
    <x v="15"/>
    <x v="0"/>
    <n v="22.9"/>
    <x v="1"/>
    <x v="1"/>
    <x v="3"/>
    <n v="4719.5200000000004"/>
    <x v="1"/>
  </r>
  <r>
    <x v="30"/>
    <x v="0"/>
    <n v="33.1"/>
    <x v="0"/>
    <x v="1"/>
    <x v="0"/>
    <n v="11848.14"/>
    <x v="2"/>
  </r>
  <r>
    <x v="3"/>
    <x v="1"/>
    <n v="24.8"/>
    <x v="0"/>
    <x v="0"/>
    <x v="3"/>
    <n v="17904.53"/>
    <x v="1"/>
  </r>
  <r>
    <x v="44"/>
    <x v="0"/>
    <n v="26.2"/>
    <x v="1"/>
    <x v="1"/>
    <x v="1"/>
    <n v="7046.72"/>
    <x v="2"/>
  </r>
  <r>
    <x v="33"/>
    <x v="0"/>
    <n v="36"/>
    <x v="0"/>
    <x v="1"/>
    <x v="1"/>
    <n v="14313.85"/>
    <x v="3"/>
  </r>
  <r>
    <x v="27"/>
    <x v="1"/>
    <n v="22.3"/>
    <x v="1"/>
    <x v="1"/>
    <x v="0"/>
    <n v="2103.08"/>
    <x v="1"/>
  </r>
  <r>
    <x v="1"/>
    <x v="0"/>
    <n v="42.2"/>
    <x v="0"/>
    <x v="0"/>
    <x v="1"/>
    <n v="38792.69"/>
    <x v="0"/>
  </r>
  <r>
    <x v="11"/>
    <x v="1"/>
    <n v="26.5"/>
    <x v="0"/>
    <x v="1"/>
    <x v="1"/>
    <n v="1815.88"/>
    <x v="1"/>
  </r>
  <r>
    <x v="39"/>
    <x v="0"/>
    <n v="35.799999999999997"/>
    <x v="0"/>
    <x v="1"/>
    <x v="2"/>
    <n v="7731.86"/>
    <x v="2"/>
  </r>
  <r>
    <x v="29"/>
    <x v="0"/>
    <n v="41.4"/>
    <x v="1"/>
    <x v="1"/>
    <x v="2"/>
    <n v="28476.73"/>
    <x v="2"/>
  </r>
  <r>
    <x v="0"/>
    <x v="0"/>
    <n v="36.6"/>
    <x v="0"/>
    <x v="1"/>
    <x v="2"/>
    <n v="2136.88"/>
    <x v="0"/>
  </r>
  <r>
    <x v="1"/>
    <x v="1"/>
    <n v="30.1"/>
    <x v="0"/>
    <x v="1"/>
    <x v="1"/>
    <n v="1131.51"/>
    <x v="0"/>
  </r>
  <r>
    <x v="9"/>
    <x v="1"/>
    <n v="25.8"/>
    <x v="1"/>
    <x v="1"/>
    <x v="3"/>
    <n v="3309.79"/>
    <x v="1"/>
  </r>
  <r>
    <x v="6"/>
    <x v="0"/>
    <n v="30.8"/>
    <x v="2"/>
    <x v="1"/>
    <x v="0"/>
    <n v="9414.92"/>
    <x v="2"/>
  </r>
  <r>
    <x v="3"/>
    <x v="0"/>
    <n v="42.9"/>
    <x v="2"/>
    <x v="1"/>
    <x v="2"/>
    <n v="6360.99"/>
    <x v="1"/>
  </r>
  <r>
    <x v="40"/>
    <x v="1"/>
    <n v="21"/>
    <x v="3"/>
    <x v="1"/>
    <x v="1"/>
    <n v="11013.71"/>
    <x v="2"/>
  </r>
  <r>
    <x v="2"/>
    <x v="1"/>
    <n v="22.5"/>
    <x v="3"/>
    <x v="1"/>
    <x v="3"/>
    <n v="4428.8900000000003"/>
    <x v="1"/>
  </r>
  <r>
    <x v="26"/>
    <x v="1"/>
    <n v="34.4"/>
    <x v="3"/>
    <x v="1"/>
    <x v="1"/>
    <n v="5584.31"/>
    <x v="1"/>
  </r>
  <r>
    <x v="34"/>
    <x v="0"/>
    <n v="31.5"/>
    <x v="0"/>
    <x v="1"/>
    <x v="1"/>
    <n v="1877.93"/>
    <x v="1"/>
  </r>
  <r>
    <x v="23"/>
    <x v="0"/>
    <n v="24.2"/>
    <x v="0"/>
    <x v="1"/>
    <x v="2"/>
    <n v="2842.76"/>
    <x v="1"/>
  </r>
  <r>
    <x v="11"/>
    <x v="1"/>
    <n v="37.1"/>
    <x v="2"/>
    <x v="1"/>
    <x v="0"/>
    <n v="3597.6"/>
    <x v="1"/>
  </r>
  <r>
    <x v="42"/>
    <x v="0"/>
    <n v="26.1"/>
    <x v="1"/>
    <x v="0"/>
    <x v="3"/>
    <n v="23401.31"/>
    <x v="2"/>
  </r>
  <r>
    <x v="3"/>
    <x v="0"/>
    <n v="35.5"/>
    <x v="0"/>
    <x v="0"/>
    <x v="2"/>
    <n v="55135.4"/>
    <x v="1"/>
  </r>
  <r>
    <x v="39"/>
    <x v="1"/>
    <n v="33.700000000000003"/>
    <x v="1"/>
    <x v="1"/>
    <x v="0"/>
    <n v="7445.92"/>
    <x v="2"/>
  </r>
  <r>
    <x v="21"/>
    <x v="1"/>
    <n v="17.7"/>
    <x v="0"/>
    <x v="1"/>
    <x v="2"/>
    <n v="2680.95"/>
    <x v="1"/>
  </r>
  <r>
    <x v="1"/>
    <x v="0"/>
    <n v="31.1"/>
    <x v="0"/>
    <x v="1"/>
    <x v="1"/>
    <n v="1621.88"/>
    <x v="0"/>
  </r>
  <r>
    <x v="36"/>
    <x v="0"/>
    <n v="29.8"/>
    <x v="3"/>
    <x v="1"/>
    <x v="1"/>
    <n v="8219.2000000000007"/>
    <x v="2"/>
  </r>
  <r>
    <x v="8"/>
    <x v="1"/>
    <n v="24.3"/>
    <x v="0"/>
    <x v="1"/>
    <x v="2"/>
    <n v="12523.6"/>
    <x v="3"/>
  </r>
  <r>
    <x v="33"/>
    <x v="0"/>
    <n v="31.8"/>
    <x v="3"/>
    <x v="1"/>
    <x v="3"/>
    <n v="16069.08"/>
    <x v="3"/>
  </r>
  <r>
    <x v="12"/>
    <x v="1"/>
    <n v="31.8"/>
    <x v="3"/>
    <x v="0"/>
    <x v="1"/>
    <n v="43813.87"/>
    <x v="2"/>
  </r>
  <r>
    <x v="26"/>
    <x v="1"/>
    <n v="28"/>
    <x v="1"/>
    <x v="0"/>
    <x v="3"/>
    <n v="20773.63"/>
    <x v="1"/>
  </r>
  <r>
    <x v="24"/>
    <x v="1"/>
    <n v="30.8"/>
    <x v="2"/>
    <x v="0"/>
    <x v="3"/>
    <n v="39597.410000000003"/>
    <x v="2"/>
  </r>
  <r>
    <x v="46"/>
    <x v="1"/>
    <n v="21.9"/>
    <x v="1"/>
    <x v="1"/>
    <x v="2"/>
    <n v="6117.49"/>
    <x v="1"/>
  </r>
  <r>
    <x v="18"/>
    <x v="1"/>
    <n v="33.1"/>
    <x v="0"/>
    <x v="1"/>
    <x v="0"/>
    <n v="13393.76"/>
    <x v="3"/>
  </r>
  <r>
    <x v="26"/>
    <x v="0"/>
    <n v="25.8"/>
    <x v="0"/>
    <x v="1"/>
    <x v="2"/>
    <n v="5266.37"/>
    <x v="1"/>
  </r>
  <r>
    <x v="2"/>
    <x v="0"/>
    <n v="23.8"/>
    <x v="3"/>
    <x v="1"/>
    <x v="2"/>
    <n v="4719.74"/>
    <x v="1"/>
  </r>
  <r>
    <x v="30"/>
    <x v="1"/>
    <n v="34.4"/>
    <x v="0"/>
    <x v="1"/>
    <x v="2"/>
    <n v="11743.93"/>
    <x v="2"/>
  </r>
  <r>
    <x v="26"/>
    <x v="1"/>
    <n v="33.799999999999997"/>
    <x v="1"/>
    <x v="1"/>
    <x v="2"/>
    <n v="5377.46"/>
    <x v="1"/>
  </r>
  <r>
    <x v="44"/>
    <x v="1"/>
    <n v="36"/>
    <x v="3"/>
    <x v="1"/>
    <x v="1"/>
    <n v="7160.33"/>
    <x v="2"/>
  </r>
  <r>
    <x v="26"/>
    <x v="1"/>
    <n v="31.5"/>
    <x v="0"/>
    <x v="1"/>
    <x v="0"/>
    <n v="4402.2299999999996"/>
    <x v="1"/>
  </r>
  <r>
    <x v="12"/>
    <x v="0"/>
    <n v="28.3"/>
    <x v="0"/>
    <x v="1"/>
    <x v="3"/>
    <n v="11657.72"/>
    <x v="2"/>
  </r>
  <r>
    <x v="22"/>
    <x v="0"/>
    <n v="23.5"/>
    <x v="3"/>
    <x v="1"/>
    <x v="3"/>
    <n v="6402.29"/>
    <x v="1"/>
  </r>
  <r>
    <x v="17"/>
    <x v="0"/>
    <n v="31.4"/>
    <x v="0"/>
    <x v="1"/>
    <x v="2"/>
    <n v="12622.18"/>
    <x v="2"/>
  </r>
  <r>
    <x v="27"/>
    <x v="1"/>
    <n v="31.1"/>
    <x v="0"/>
    <x v="1"/>
    <x v="0"/>
    <n v="1526.31"/>
    <x v="1"/>
  </r>
  <r>
    <x v="17"/>
    <x v="1"/>
    <n v="24.7"/>
    <x v="0"/>
    <x v="1"/>
    <x v="3"/>
    <n v="12323.94"/>
    <x v="2"/>
  </r>
  <r>
    <x v="11"/>
    <x v="0"/>
    <n v="32.799999999999997"/>
    <x v="3"/>
    <x v="0"/>
    <x v="1"/>
    <n v="36021.01"/>
    <x v="1"/>
  </r>
  <r>
    <x v="37"/>
    <x v="0"/>
    <n v="29.8"/>
    <x v="0"/>
    <x v="0"/>
    <x v="1"/>
    <n v="27533.91"/>
    <x v="2"/>
  </r>
  <r>
    <x v="31"/>
    <x v="1"/>
    <n v="30.5"/>
    <x v="0"/>
    <x v="1"/>
    <x v="3"/>
    <n v="10072.06"/>
    <x v="2"/>
  </r>
  <r>
    <x v="8"/>
    <x v="0"/>
    <n v="32.5"/>
    <x v="0"/>
    <x v="0"/>
    <x v="1"/>
    <n v="45008.959999999999"/>
    <x v="3"/>
  </r>
  <r>
    <x v="43"/>
    <x v="0"/>
    <n v="34.200000000000003"/>
    <x v="1"/>
    <x v="1"/>
    <x v="0"/>
    <n v="9872.7000000000007"/>
    <x v="2"/>
  </r>
  <r>
    <x v="11"/>
    <x v="1"/>
    <n v="50.4"/>
    <x v="1"/>
    <x v="1"/>
    <x v="1"/>
    <n v="2438.06"/>
    <x v="1"/>
  </r>
  <r>
    <x v="13"/>
    <x v="0"/>
    <n v="24.1"/>
    <x v="0"/>
    <x v="1"/>
    <x v="0"/>
    <n v="2974.13"/>
    <x v="1"/>
  </r>
  <r>
    <x v="19"/>
    <x v="1"/>
    <n v="32.799999999999997"/>
    <x v="0"/>
    <x v="1"/>
    <x v="2"/>
    <n v="10601.63"/>
    <x v="2"/>
  </r>
  <r>
    <x v="7"/>
    <x v="0"/>
    <n v="30.8"/>
    <x v="0"/>
    <x v="0"/>
    <x v="3"/>
    <n v="37270.15"/>
    <x v="1"/>
  </r>
  <r>
    <x v="35"/>
    <x v="1"/>
    <n v="32.299999999999997"/>
    <x v="3"/>
    <x v="1"/>
    <x v="2"/>
    <n v="14119.62"/>
    <x v="3"/>
  </r>
  <r>
    <x v="6"/>
    <x v="0"/>
    <n v="35.5"/>
    <x v="0"/>
    <x v="0"/>
    <x v="3"/>
    <n v="42111.66"/>
    <x v="2"/>
  </r>
  <r>
    <x v="31"/>
    <x v="0"/>
    <n v="23.8"/>
    <x v="3"/>
    <x v="1"/>
    <x v="3"/>
    <n v="11729.68"/>
    <x v="2"/>
  </r>
  <r>
    <x v="41"/>
    <x v="0"/>
    <n v="23.8"/>
    <x v="2"/>
    <x v="0"/>
    <x v="3"/>
    <n v="24106.91"/>
    <x v="2"/>
  </r>
  <r>
    <x v="34"/>
    <x v="0"/>
    <n v="29.6"/>
    <x v="0"/>
    <x v="1"/>
    <x v="0"/>
    <n v="1875.34"/>
    <x v="1"/>
  </r>
  <r>
    <x v="28"/>
    <x v="0"/>
    <n v="33.1"/>
    <x v="0"/>
    <x v="0"/>
    <x v="1"/>
    <n v="40974.160000000003"/>
    <x v="2"/>
  </r>
  <r>
    <x v="9"/>
    <x v="1"/>
    <n v="24.1"/>
    <x v="0"/>
    <x v="0"/>
    <x v="2"/>
    <n v="15817.99"/>
    <x v="1"/>
  </r>
  <r>
    <x v="9"/>
    <x v="0"/>
    <n v="32.200000000000003"/>
    <x v="1"/>
    <x v="1"/>
    <x v="1"/>
    <n v="18218.16"/>
    <x v="1"/>
  </r>
  <r>
    <x v="37"/>
    <x v="1"/>
    <n v="28.1"/>
    <x v="0"/>
    <x v="1"/>
    <x v="0"/>
    <n v="10965.45"/>
    <x v="2"/>
  </r>
  <r>
    <x v="7"/>
    <x v="0"/>
    <n v="47.6"/>
    <x v="3"/>
    <x v="0"/>
    <x v="0"/>
    <n v="46113.51"/>
    <x v="1"/>
  </r>
  <r>
    <x v="25"/>
    <x v="0"/>
    <n v="28"/>
    <x v="2"/>
    <x v="1"/>
    <x v="0"/>
    <n v="7151.09"/>
    <x v="1"/>
  </r>
  <r>
    <x v="19"/>
    <x v="0"/>
    <n v="33.5"/>
    <x v="3"/>
    <x v="1"/>
    <x v="2"/>
    <n v="12269.69"/>
    <x v="2"/>
  </r>
  <r>
    <x v="26"/>
    <x v="0"/>
    <n v="19.899999999999999"/>
    <x v="0"/>
    <x v="1"/>
    <x v="3"/>
    <n v="5458.05"/>
    <x v="1"/>
  </r>
  <r>
    <x v="43"/>
    <x v="1"/>
    <n v="25.4"/>
    <x v="0"/>
    <x v="1"/>
    <x v="0"/>
    <n v="8782.4699999999993"/>
    <x v="2"/>
  </r>
  <r>
    <x v="29"/>
    <x v="1"/>
    <n v="29.9"/>
    <x v="3"/>
    <x v="1"/>
    <x v="0"/>
    <n v="6600.36"/>
    <x v="2"/>
  </r>
  <r>
    <x v="1"/>
    <x v="1"/>
    <n v="37.299999999999997"/>
    <x v="0"/>
    <x v="1"/>
    <x v="1"/>
    <n v="1141.45"/>
    <x v="0"/>
  </r>
  <r>
    <x v="37"/>
    <x v="1"/>
    <n v="43.7"/>
    <x v="1"/>
    <x v="1"/>
    <x v="0"/>
    <n v="11576.13"/>
    <x v="2"/>
  </r>
  <r>
    <x v="35"/>
    <x v="1"/>
    <n v="23.7"/>
    <x v="0"/>
    <x v="1"/>
    <x v="3"/>
    <n v="13129.6"/>
    <x v="3"/>
  </r>
  <r>
    <x v="9"/>
    <x v="0"/>
    <n v="24.3"/>
    <x v="2"/>
    <x v="1"/>
    <x v="0"/>
    <n v="4391.6499999999996"/>
    <x v="1"/>
  </r>
  <r>
    <x v="45"/>
    <x v="1"/>
    <n v="36.200000000000003"/>
    <x v="0"/>
    <x v="1"/>
    <x v="0"/>
    <n v="8457.82"/>
    <x v="2"/>
  </r>
  <r>
    <x v="21"/>
    <x v="0"/>
    <n v="29.5"/>
    <x v="1"/>
    <x v="1"/>
    <x v="1"/>
    <n v="3392.37"/>
    <x v="1"/>
  </r>
  <r>
    <x v="44"/>
    <x v="1"/>
    <n v="24.9"/>
    <x v="0"/>
    <x v="1"/>
    <x v="1"/>
    <n v="5966.89"/>
    <x v="2"/>
  </r>
  <r>
    <x v="32"/>
    <x v="1"/>
    <n v="30.1"/>
    <x v="1"/>
    <x v="1"/>
    <x v="0"/>
    <n v="6849.03"/>
    <x v="2"/>
  </r>
  <r>
    <x v="36"/>
    <x v="1"/>
    <n v="21.9"/>
    <x v="2"/>
    <x v="1"/>
    <x v="3"/>
    <n v="8891.14"/>
    <x v="2"/>
  </r>
  <r>
    <x v="11"/>
    <x v="0"/>
    <n v="28.1"/>
    <x v="0"/>
    <x v="1"/>
    <x v="2"/>
    <n v="2690.11"/>
    <x v="1"/>
  </r>
  <r>
    <x v="41"/>
    <x v="0"/>
    <n v="27.1"/>
    <x v="1"/>
    <x v="1"/>
    <x v="0"/>
    <n v="26140.36"/>
    <x v="2"/>
  </r>
  <r>
    <x v="3"/>
    <x v="1"/>
    <n v="33.4"/>
    <x v="4"/>
    <x v="1"/>
    <x v="1"/>
    <n v="6653.79"/>
    <x v="1"/>
  </r>
  <r>
    <x v="24"/>
    <x v="1"/>
    <n v="28.8"/>
    <x v="1"/>
    <x v="1"/>
    <x v="0"/>
    <n v="6282.24"/>
    <x v="2"/>
  </r>
  <r>
    <x v="7"/>
    <x v="0"/>
    <n v="29.5"/>
    <x v="3"/>
    <x v="1"/>
    <x v="0"/>
    <n v="6311.95"/>
    <x v="1"/>
  </r>
  <r>
    <x v="20"/>
    <x v="1"/>
    <n v="34.799999999999997"/>
    <x v="2"/>
    <x v="1"/>
    <x v="0"/>
    <n v="3443.06"/>
    <x v="1"/>
  </r>
  <r>
    <x v="11"/>
    <x v="1"/>
    <n v="27.4"/>
    <x v="1"/>
    <x v="1"/>
    <x v="2"/>
    <n v="2789.06"/>
    <x v="1"/>
  </r>
  <r>
    <x v="27"/>
    <x v="0"/>
    <n v="22.1"/>
    <x v="0"/>
    <x v="1"/>
    <x v="3"/>
    <n v="2585.85"/>
    <x v="1"/>
  </r>
  <r>
    <x v="43"/>
    <x v="0"/>
    <n v="37.1"/>
    <x v="2"/>
    <x v="0"/>
    <x v="3"/>
    <n v="46255.11"/>
    <x v="2"/>
  </r>
  <r>
    <x v="9"/>
    <x v="1"/>
    <n v="26.7"/>
    <x v="5"/>
    <x v="1"/>
    <x v="2"/>
    <n v="4877.9799999999996"/>
    <x v="1"/>
  </r>
  <r>
    <x v="4"/>
    <x v="1"/>
    <n v="28.9"/>
    <x v="1"/>
    <x v="0"/>
    <x v="1"/>
    <n v="19719.689999999999"/>
    <x v="1"/>
  </r>
  <r>
    <x v="37"/>
    <x v="1"/>
    <n v="29"/>
    <x v="0"/>
    <x v="0"/>
    <x v="3"/>
    <n v="27218.44"/>
    <x v="2"/>
  </r>
  <r>
    <x v="26"/>
    <x v="0"/>
    <n v="30"/>
    <x v="0"/>
    <x v="1"/>
    <x v="2"/>
    <n v="5272.18"/>
    <x v="1"/>
  </r>
  <r>
    <x v="20"/>
    <x v="1"/>
    <n v="39.5"/>
    <x v="0"/>
    <x v="1"/>
    <x v="0"/>
    <n v="1682.6"/>
    <x v="1"/>
  </r>
  <r>
    <x v="37"/>
    <x v="1"/>
    <n v="33.6"/>
    <x v="1"/>
    <x v="1"/>
    <x v="2"/>
    <n v="11945.13"/>
    <x v="2"/>
  </r>
  <r>
    <x v="33"/>
    <x v="0"/>
    <n v="26.9"/>
    <x v="0"/>
    <x v="0"/>
    <x v="2"/>
    <n v="29330.98"/>
    <x v="3"/>
  </r>
  <r>
    <x v="26"/>
    <x v="0"/>
    <n v="29"/>
    <x v="5"/>
    <x v="1"/>
    <x v="1"/>
    <n v="7243.81"/>
    <x v="1"/>
  </r>
  <r>
    <x v="40"/>
    <x v="1"/>
    <n v="24"/>
    <x v="0"/>
    <x v="1"/>
    <x v="3"/>
    <n v="10422.92"/>
    <x v="2"/>
  </r>
  <r>
    <x v="42"/>
    <x v="1"/>
    <n v="38.9"/>
    <x v="3"/>
    <x v="0"/>
    <x v="1"/>
    <n v="44202.65"/>
    <x v="2"/>
  </r>
  <r>
    <x v="10"/>
    <x v="1"/>
    <n v="32.1"/>
    <x v="0"/>
    <x v="1"/>
    <x v="3"/>
    <n v="13555"/>
    <x v="3"/>
  </r>
  <r>
    <x v="35"/>
    <x v="0"/>
    <n v="44"/>
    <x v="0"/>
    <x v="1"/>
    <x v="0"/>
    <n v="13063.88"/>
    <x v="3"/>
  </r>
  <r>
    <x v="32"/>
    <x v="0"/>
    <n v="20"/>
    <x v="3"/>
    <x v="0"/>
    <x v="3"/>
    <n v="19798.05"/>
    <x v="2"/>
  </r>
  <r>
    <x v="0"/>
    <x v="1"/>
    <n v="25.6"/>
    <x v="1"/>
    <x v="1"/>
    <x v="2"/>
    <n v="2221.56"/>
    <x v="0"/>
  </r>
  <r>
    <x v="1"/>
    <x v="0"/>
    <n v="40.299999999999997"/>
    <x v="0"/>
    <x v="1"/>
    <x v="1"/>
    <n v="1634.57"/>
    <x v="0"/>
  </r>
  <r>
    <x v="0"/>
    <x v="0"/>
    <n v="22.5"/>
    <x v="0"/>
    <x v="1"/>
    <x v="2"/>
    <n v="2117.34"/>
    <x v="0"/>
  </r>
  <r>
    <x v="41"/>
    <x v="1"/>
    <n v="22.5"/>
    <x v="0"/>
    <x v="1"/>
    <x v="3"/>
    <n v="8688.86"/>
    <x v="2"/>
  </r>
  <r>
    <x v="8"/>
    <x v="1"/>
    <n v="40.9"/>
    <x v="0"/>
    <x v="0"/>
    <x v="1"/>
    <n v="48673.56"/>
    <x v="3"/>
  </r>
  <r>
    <x v="21"/>
    <x v="1"/>
    <n v="27.3"/>
    <x v="2"/>
    <x v="1"/>
    <x v="3"/>
    <n v="4661.29"/>
    <x v="1"/>
  </r>
  <r>
    <x v="41"/>
    <x v="1"/>
    <n v="36.9"/>
    <x v="0"/>
    <x v="1"/>
    <x v="1"/>
    <n v="8125.78"/>
    <x v="2"/>
  </r>
  <r>
    <x v="8"/>
    <x v="0"/>
    <n v="35.1"/>
    <x v="0"/>
    <x v="1"/>
    <x v="0"/>
    <n v="12644.59"/>
    <x v="3"/>
  </r>
  <r>
    <x v="21"/>
    <x v="0"/>
    <n v="29.4"/>
    <x v="3"/>
    <x v="1"/>
    <x v="3"/>
    <n v="4564.1899999999996"/>
    <x v="1"/>
  </r>
  <r>
    <x v="13"/>
    <x v="1"/>
    <n v="32.6"/>
    <x v="2"/>
    <x v="1"/>
    <x v="3"/>
    <n v="4846.92"/>
    <x v="1"/>
  </r>
  <r>
    <x v="36"/>
    <x v="0"/>
    <n v="32.299999999999997"/>
    <x v="1"/>
    <x v="1"/>
    <x v="1"/>
    <n v="7633.72"/>
    <x v="2"/>
  </r>
  <r>
    <x v="18"/>
    <x v="1"/>
    <n v="39.799999999999997"/>
    <x v="2"/>
    <x v="1"/>
    <x v="0"/>
    <n v="15170.07"/>
    <x v="3"/>
  </r>
  <r>
    <x v="4"/>
    <x v="0"/>
    <n v="24.6"/>
    <x v="0"/>
    <x v="0"/>
    <x v="0"/>
    <n v="17496.310000000001"/>
    <x v="1"/>
  </r>
  <r>
    <x v="20"/>
    <x v="1"/>
    <n v="28.3"/>
    <x v="1"/>
    <x v="1"/>
    <x v="2"/>
    <n v="2639.04"/>
    <x v="1"/>
  </r>
  <r>
    <x v="1"/>
    <x v="1"/>
    <n v="31.7"/>
    <x v="0"/>
    <x v="0"/>
    <x v="3"/>
    <n v="33732.69"/>
    <x v="0"/>
  </r>
  <r>
    <x v="17"/>
    <x v="0"/>
    <n v="26.7"/>
    <x v="2"/>
    <x v="1"/>
    <x v="2"/>
    <n v="14382.71"/>
    <x v="2"/>
  </r>
  <r>
    <x v="36"/>
    <x v="0"/>
    <n v="27.5"/>
    <x v="1"/>
    <x v="1"/>
    <x v="0"/>
    <n v="7626.99"/>
    <x v="2"/>
  </r>
  <r>
    <x v="3"/>
    <x v="1"/>
    <n v="24.6"/>
    <x v="3"/>
    <x v="1"/>
    <x v="2"/>
    <n v="5257.51"/>
    <x v="1"/>
  </r>
  <r>
    <x v="23"/>
    <x v="0"/>
    <n v="34"/>
    <x v="0"/>
    <x v="1"/>
    <x v="1"/>
    <n v="2473.33"/>
    <x v="1"/>
  </r>
  <r>
    <x v="32"/>
    <x v="0"/>
    <n v="26.9"/>
    <x v="0"/>
    <x v="0"/>
    <x v="2"/>
    <n v="21774.32"/>
    <x v="2"/>
  </r>
  <r>
    <x v="39"/>
    <x v="1"/>
    <n v="22.9"/>
    <x v="0"/>
    <x v="0"/>
    <x v="3"/>
    <n v="35069.370000000003"/>
    <x v="2"/>
  </r>
  <r>
    <x v="35"/>
    <x v="0"/>
    <n v="28.2"/>
    <x v="0"/>
    <x v="1"/>
    <x v="0"/>
    <n v="13041.92"/>
    <x v="3"/>
  </r>
  <r>
    <x v="22"/>
    <x v="0"/>
    <n v="34.200000000000003"/>
    <x v="1"/>
    <x v="1"/>
    <x v="1"/>
    <n v="5245.23"/>
    <x v="1"/>
  </r>
  <r>
    <x v="10"/>
    <x v="0"/>
    <n v="25"/>
    <x v="0"/>
    <x v="1"/>
    <x v="0"/>
    <n v="13451.12"/>
    <x v="3"/>
  </r>
  <r>
    <x v="10"/>
    <x v="0"/>
    <n v="33.200000000000003"/>
    <x v="0"/>
    <x v="1"/>
    <x v="0"/>
    <n v="13462.52"/>
    <x v="3"/>
  </r>
  <r>
    <x v="25"/>
    <x v="1"/>
    <n v="31"/>
    <x v="1"/>
    <x v="1"/>
    <x v="0"/>
    <n v="5488.26"/>
    <x v="1"/>
  </r>
  <r>
    <x v="16"/>
    <x v="1"/>
    <n v="35.799999999999997"/>
    <x v="0"/>
    <x v="1"/>
    <x v="2"/>
    <n v="4320.41"/>
    <x v="1"/>
  </r>
  <r>
    <x v="32"/>
    <x v="1"/>
    <n v="23.2"/>
    <x v="0"/>
    <x v="1"/>
    <x v="0"/>
    <n v="6250.44"/>
    <x v="2"/>
  </r>
  <r>
    <x v="45"/>
    <x v="1"/>
    <n v="32.1"/>
    <x v="3"/>
    <x v="1"/>
    <x v="3"/>
    <n v="25333.33"/>
    <x v="2"/>
  </r>
  <r>
    <x v="0"/>
    <x v="0"/>
    <n v="23.4"/>
    <x v="3"/>
    <x v="1"/>
    <x v="0"/>
    <n v="2913.57"/>
    <x v="0"/>
  </r>
  <r>
    <x v="37"/>
    <x v="0"/>
    <n v="20.100000000000001"/>
    <x v="1"/>
    <x v="1"/>
    <x v="0"/>
    <n v="12032.33"/>
    <x v="2"/>
  </r>
  <r>
    <x v="10"/>
    <x v="0"/>
    <n v="39.200000000000003"/>
    <x v="0"/>
    <x v="1"/>
    <x v="1"/>
    <n v="13470.8"/>
    <x v="3"/>
  </r>
  <r>
    <x v="24"/>
    <x v="1"/>
    <n v="34.200000000000003"/>
    <x v="1"/>
    <x v="1"/>
    <x v="1"/>
    <n v="6289.75"/>
    <x v="2"/>
  </r>
  <r>
    <x v="21"/>
    <x v="1"/>
    <n v="46.5"/>
    <x v="1"/>
    <x v="1"/>
    <x v="1"/>
    <n v="2927.06"/>
    <x v="1"/>
  </r>
  <r>
    <x v="46"/>
    <x v="0"/>
    <n v="32.5"/>
    <x v="1"/>
    <x v="1"/>
    <x v="0"/>
    <n v="6238.3"/>
    <x v="1"/>
  </r>
  <r>
    <x v="6"/>
    <x v="1"/>
    <n v="25.8"/>
    <x v="4"/>
    <x v="1"/>
    <x v="0"/>
    <n v="10096.969999999999"/>
    <x v="2"/>
  </r>
  <r>
    <x v="39"/>
    <x v="0"/>
    <n v="35.299999999999997"/>
    <x v="0"/>
    <x v="1"/>
    <x v="0"/>
    <n v="7348.14"/>
    <x v="2"/>
  </r>
  <r>
    <x v="4"/>
    <x v="1"/>
    <n v="37.200000000000003"/>
    <x v="3"/>
    <x v="1"/>
    <x v="1"/>
    <n v="4673.3900000000003"/>
    <x v="1"/>
  </r>
  <r>
    <x v="17"/>
    <x v="0"/>
    <n v="27.5"/>
    <x v="0"/>
    <x v="1"/>
    <x v="0"/>
    <n v="12233.83"/>
    <x v="2"/>
  </r>
  <r>
    <x v="36"/>
    <x v="1"/>
    <n v="29.7"/>
    <x v="3"/>
    <x v="1"/>
    <x v="3"/>
    <n v="32108.66"/>
    <x v="2"/>
  </r>
  <r>
    <x v="46"/>
    <x v="0"/>
    <n v="24.2"/>
    <x v="4"/>
    <x v="1"/>
    <x v="2"/>
    <n v="8965.7999999999993"/>
    <x v="1"/>
  </r>
  <r>
    <x v="1"/>
    <x v="1"/>
    <n v="26.2"/>
    <x v="3"/>
    <x v="1"/>
    <x v="1"/>
    <n v="2304"/>
    <x v="0"/>
  </r>
  <r>
    <x v="31"/>
    <x v="1"/>
    <n v="29.5"/>
    <x v="0"/>
    <x v="1"/>
    <x v="1"/>
    <n v="9487.64"/>
    <x v="2"/>
  </r>
  <r>
    <x v="1"/>
    <x v="1"/>
    <n v="23.2"/>
    <x v="0"/>
    <x v="1"/>
    <x v="1"/>
    <n v="1121.8699999999999"/>
    <x v="0"/>
  </r>
  <r>
    <x v="45"/>
    <x v="0"/>
    <n v="46.1"/>
    <x v="1"/>
    <x v="1"/>
    <x v="1"/>
    <n v="9549.57"/>
    <x v="2"/>
  </r>
  <r>
    <x v="1"/>
    <x v="0"/>
    <n v="40.200000000000003"/>
    <x v="0"/>
    <x v="1"/>
    <x v="3"/>
    <n v="2217.4699999999998"/>
    <x v="0"/>
  </r>
  <r>
    <x v="0"/>
    <x v="1"/>
    <n v="22.6"/>
    <x v="0"/>
    <x v="1"/>
    <x v="2"/>
    <n v="1628.47"/>
    <x v="0"/>
  </r>
  <r>
    <x v="10"/>
    <x v="1"/>
    <n v="39.9"/>
    <x v="0"/>
    <x v="1"/>
    <x v="1"/>
    <n v="12982.87"/>
    <x v="3"/>
  </r>
  <r>
    <x v="12"/>
    <x v="0"/>
    <n v="35.799999999999997"/>
    <x v="1"/>
    <x v="1"/>
    <x v="0"/>
    <n v="11674.13"/>
    <x v="2"/>
  </r>
  <r>
    <x v="44"/>
    <x v="1"/>
    <n v="35.799999999999997"/>
    <x v="3"/>
    <x v="1"/>
    <x v="0"/>
    <n v="7160.09"/>
    <x v="2"/>
  </r>
  <r>
    <x v="7"/>
    <x v="1"/>
    <n v="34.200000000000003"/>
    <x v="1"/>
    <x v="0"/>
    <x v="3"/>
    <n v="39047.29"/>
    <x v="1"/>
  </r>
  <r>
    <x v="44"/>
    <x v="1"/>
    <n v="31.3"/>
    <x v="0"/>
    <x v="1"/>
    <x v="2"/>
    <n v="6358.78"/>
    <x v="2"/>
  </r>
  <r>
    <x v="9"/>
    <x v="1"/>
    <n v="29.7"/>
    <x v="2"/>
    <x v="0"/>
    <x v="0"/>
    <n v="19933.46"/>
    <x v="1"/>
  </r>
  <r>
    <x v="37"/>
    <x v="1"/>
    <n v="18.3"/>
    <x v="0"/>
    <x v="1"/>
    <x v="3"/>
    <n v="11534.87"/>
    <x v="2"/>
  </r>
  <r>
    <x v="43"/>
    <x v="1"/>
    <n v="42.9"/>
    <x v="3"/>
    <x v="0"/>
    <x v="1"/>
    <n v="47462.89"/>
    <x v="2"/>
  </r>
  <r>
    <x v="15"/>
    <x v="0"/>
    <n v="28.4"/>
    <x v="1"/>
    <x v="1"/>
    <x v="2"/>
    <n v="4527.18"/>
    <x v="1"/>
  </r>
  <r>
    <x v="36"/>
    <x v="1"/>
    <n v="30.2"/>
    <x v="3"/>
    <x v="0"/>
    <x v="0"/>
    <n v="38998.550000000003"/>
    <x v="2"/>
  </r>
  <r>
    <x v="16"/>
    <x v="1"/>
    <n v="27.8"/>
    <x v="1"/>
    <x v="0"/>
    <x v="2"/>
    <n v="20009.63"/>
    <x v="1"/>
  </r>
  <r>
    <x v="5"/>
    <x v="1"/>
    <n v="39.5"/>
    <x v="1"/>
    <x v="1"/>
    <x v="1"/>
    <n v="3875.73"/>
    <x v="1"/>
  </r>
  <r>
    <x v="40"/>
    <x v="1"/>
    <n v="30.8"/>
    <x v="1"/>
    <x v="0"/>
    <x v="1"/>
    <n v="41999.519999999997"/>
    <x v="2"/>
  </r>
  <r>
    <x v="23"/>
    <x v="1"/>
    <n v="26.8"/>
    <x v="1"/>
    <x v="1"/>
    <x v="2"/>
    <n v="12609.89"/>
    <x v="1"/>
  </r>
  <r>
    <x v="32"/>
    <x v="1"/>
    <n v="35"/>
    <x v="1"/>
    <x v="0"/>
    <x v="3"/>
    <n v="41034.22"/>
    <x v="2"/>
  </r>
  <r>
    <x v="28"/>
    <x v="1"/>
    <n v="36.700000000000003"/>
    <x v="1"/>
    <x v="1"/>
    <x v="2"/>
    <n v="28468.92"/>
    <x v="2"/>
  </r>
  <r>
    <x v="0"/>
    <x v="0"/>
    <n v="39.6"/>
    <x v="1"/>
    <x v="1"/>
    <x v="2"/>
    <n v="2730.11"/>
    <x v="0"/>
  </r>
  <r>
    <x v="38"/>
    <x v="0"/>
    <n v="25.9"/>
    <x v="0"/>
    <x v="1"/>
    <x v="0"/>
    <n v="3353.28"/>
    <x v="1"/>
  </r>
  <r>
    <x v="18"/>
    <x v="0"/>
    <n v="35.200000000000003"/>
    <x v="1"/>
    <x v="1"/>
    <x v="1"/>
    <n v="14474.68"/>
    <x v="3"/>
  </r>
  <r>
    <x v="6"/>
    <x v="1"/>
    <n v="24.8"/>
    <x v="2"/>
    <x v="1"/>
    <x v="3"/>
    <n v="9500.57"/>
    <x v="2"/>
  </r>
  <r>
    <x v="14"/>
    <x v="1"/>
    <n v="36.799999999999997"/>
    <x v="3"/>
    <x v="1"/>
    <x v="2"/>
    <n v="26467.1"/>
    <x v="2"/>
  </r>
  <r>
    <x v="22"/>
    <x v="1"/>
    <n v="27.1"/>
    <x v="1"/>
    <x v="1"/>
    <x v="0"/>
    <n v="4746.34"/>
    <x v="1"/>
  </r>
  <r>
    <x v="43"/>
    <x v="1"/>
    <n v="24.8"/>
    <x v="3"/>
    <x v="0"/>
    <x v="2"/>
    <n v="23967.38"/>
    <x v="2"/>
  </r>
  <r>
    <x v="36"/>
    <x v="1"/>
    <n v="25.4"/>
    <x v="1"/>
    <x v="1"/>
    <x v="2"/>
    <n v="7518.03"/>
    <x v="2"/>
  </r>
  <r>
    <x v="27"/>
    <x v="1"/>
    <n v="25.7"/>
    <x v="3"/>
    <x v="1"/>
    <x v="3"/>
    <n v="3279.87"/>
    <x v="1"/>
  </r>
  <r>
    <x v="46"/>
    <x v="0"/>
    <n v="34.299999999999997"/>
    <x v="4"/>
    <x v="1"/>
    <x v="1"/>
    <n v="8596.83"/>
    <x v="1"/>
  </r>
  <r>
    <x v="45"/>
    <x v="0"/>
    <n v="28.2"/>
    <x v="2"/>
    <x v="1"/>
    <x v="1"/>
    <n v="10702.64"/>
    <x v="2"/>
  </r>
  <r>
    <x v="16"/>
    <x v="0"/>
    <n v="23.6"/>
    <x v="0"/>
    <x v="1"/>
    <x v="3"/>
    <n v="4992.38"/>
    <x v="1"/>
  </r>
  <r>
    <x v="20"/>
    <x v="0"/>
    <n v="20.2"/>
    <x v="0"/>
    <x v="1"/>
    <x v="2"/>
    <n v="2527.8200000000002"/>
    <x v="1"/>
  </r>
  <r>
    <x v="0"/>
    <x v="0"/>
    <n v="40.5"/>
    <x v="0"/>
    <x v="1"/>
    <x v="0"/>
    <n v="1759.34"/>
    <x v="0"/>
  </r>
  <r>
    <x v="21"/>
    <x v="1"/>
    <n v="35.4"/>
    <x v="0"/>
    <x v="1"/>
    <x v="1"/>
    <n v="2322.62"/>
    <x v="1"/>
  </r>
  <r>
    <x v="38"/>
    <x v="1"/>
    <n v="22.9"/>
    <x v="0"/>
    <x v="0"/>
    <x v="3"/>
    <n v="16138.76"/>
    <x v="1"/>
  </r>
  <r>
    <x v="28"/>
    <x v="1"/>
    <n v="40.200000000000003"/>
    <x v="0"/>
    <x v="1"/>
    <x v="1"/>
    <n v="7804.16"/>
    <x v="2"/>
  </r>
  <r>
    <x v="21"/>
    <x v="1"/>
    <n v="29.2"/>
    <x v="1"/>
    <x v="1"/>
    <x v="1"/>
    <n v="2902.91"/>
    <x v="1"/>
  </r>
  <r>
    <x v="39"/>
    <x v="0"/>
    <n v="40"/>
    <x v="2"/>
    <x v="1"/>
    <x v="3"/>
    <n v="9704.67"/>
    <x v="2"/>
  </r>
  <r>
    <x v="26"/>
    <x v="0"/>
    <n v="29.9"/>
    <x v="0"/>
    <x v="1"/>
    <x v="1"/>
    <n v="4889.04"/>
    <x v="1"/>
  </r>
  <r>
    <x v="40"/>
    <x v="1"/>
    <n v="25.5"/>
    <x v="1"/>
    <x v="1"/>
    <x v="3"/>
    <n v="25517.11"/>
    <x v="2"/>
  </r>
  <r>
    <x v="16"/>
    <x v="1"/>
    <n v="21.4"/>
    <x v="0"/>
    <x v="1"/>
    <x v="3"/>
    <n v="4500.34"/>
    <x v="1"/>
  </r>
  <r>
    <x v="5"/>
    <x v="1"/>
    <n v="25.9"/>
    <x v="2"/>
    <x v="0"/>
    <x v="0"/>
    <n v="19199.939999999999"/>
    <x v="1"/>
  </r>
  <r>
    <x v="13"/>
    <x v="0"/>
    <n v="30.6"/>
    <x v="1"/>
    <x v="1"/>
    <x v="3"/>
    <n v="16796.41"/>
    <x v="1"/>
  </r>
  <r>
    <x v="34"/>
    <x v="1"/>
    <n v="30.1"/>
    <x v="4"/>
    <x v="1"/>
    <x v="3"/>
    <n v="4915.0600000000004"/>
    <x v="1"/>
  </r>
  <r>
    <x v="36"/>
    <x v="0"/>
    <n v="25.8"/>
    <x v="1"/>
    <x v="1"/>
    <x v="0"/>
    <n v="7624.63"/>
    <x v="2"/>
  </r>
  <r>
    <x v="32"/>
    <x v="1"/>
    <n v="30.1"/>
    <x v="2"/>
    <x v="1"/>
    <x v="2"/>
    <n v="8410.0499999999993"/>
    <x v="2"/>
  </r>
  <r>
    <x v="39"/>
    <x v="0"/>
    <n v="27.6"/>
    <x v="1"/>
    <x v="1"/>
    <x v="2"/>
    <n v="28340.19"/>
    <x v="2"/>
  </r>
  <r>
    <x v="16"/>
    <x v="1"/>
    <n v="34.700000000000003"/>
    <x v="0"/>
    <x v="1"/>
    <x v="3"/>
    <n v="4518.83"/>
    <x v="1"/>
  </r>
  <r>
    <x v="23"/>
    <x v="0"/>
    <n v="20.5"/>
    <x v="0"/>
    <x v="0"/>
    <x v="3"/>
    <n v="14571.89"/>
    <x v="1"/>
  </r>
  <r>
    <x v="21"/>
    <x v="0"/>
    <n v="19.8"/>
    <x v="1"/>
    <x v="1"/>
    <x v="0"/>
    <n v="3378.91"/>
    <x v="1"/>
  </r>
  <r>
    <x v="25"/>
    <x v="0"/>
    <n v="27.8"/>
    <x v="3"/>
    <x v="1"/>
    <x v="3"/>
    <n v="7144.86"/>
    <x v="1"/>
  </r>
  <r>
    <x v="45"/>
    <x v="0"/>
    <n v="31.6"/>
    <x v="3"/>
    <x v="1"/>
    <x v="0"/>
    <n v="10118.42"/>
    <x v="2"/>
  </r>
  <r>
    <x v="25"/>
    <x v="1"/>
    <n v="28.3"/>
    <x v="1"/>
    <x v="1"/>
    <x v="1"/>
    <n v="5484.47"/>
    <x v="1"/>
  </r>
  <r>
    <x v="13"/>
    <x v="0"/>
    <n v="20"/>
    <x v="2"/>
    <x v="0"/>
    <x v="2"/>
    <n v="16420.490000000002"/>
    <x v="1"/>
  </r>
  <r>
    <x v="46"/>
    <x v="0"/>
    <n v="23.3"/>
    <x v="2"/>
    <x v="1"/>
    <x v="3"/>
    <n v="7986.48"/>
    <x v="1"/>
  </r>
  <r>
    <x v="46"/>
    <x v="0"/>
    <n v="34.1"/>
    <x v="2"/>
    <x v="1"/>
    <x v="0"/>
    <n v="7418.52"/>
    <x v="1"/>
  </r>
  <r>
    <x v="18"/>
    <x v="0"/>
    <n v="36.9"/>
    <x v="0"/>
    <x v="1"/>
    <x v="1"/>
    <n v="13887.97"/>
    <x v="3"/>
  </r>
  <r>
    <x v="3"/>
    <x v="0"/>
    <n v="36.299999999999997"/>
    <x v="2"/>
    <x v="1"/>
    <x v="3"/>
    <n v="6551.75"/>
    <x v="1"/>
  </r>
  <r>
    <x v="26"/>
    <x v="0"/>
    <n v="26.9"/>
    <x v="0"/>
    <x v="1"/>
    <x v="2"/>
    <n v="5267.82"/>
    <x v="1"/>
  </r>
  <r>
    <x v="15"/>
    <x v="1"/>
    <n v="23"/>
    <x v="3"/>
    <x v="0"/>
    <x v="2"/>
    <n v="17361.77"/>
    <x v="1"/>
  </r>
  <r>
    <x v="23"/>
    <x v="1"/>
    <n v="32.700000000000003"/>
    <x v="0"/>
    <x v="0"/>
    <x v="0"/>
    <n v="34472.839999999997"/>
    <x v="1"/>
  </r>
  <r>
    <x v="23"/>
    <x v="1"/>
    <n v="25.8"/>
    <x v="0"/>
    <x v="1"/>
    <x v="0"/>
    <n v="1972.95"/>
    <x v="1"/>
  </r>
  <r>
    <x v="28"/>
    <x v="1"/>
    <n v="29.6"/>
    <x v="0"/>
    <x v="1"/>
    <x v="0"/>
    <n v="21232.18"/>
    <x v="2"/>
  </r>
  <r>
    <x v="42"/>
    <x v="1"/>
    <n v="19.2"/>
    <x v="1"/>
    <x v="1"/>
    <x v="3"/>
    <n v="8627.5400000000009"/>
    <x v="2"/>
  </r>
  <r>
    <x v="38"/>
    <x v="1"/>
    <n v="31.7"/>
    <x v="3"/>
    <x v="1"/>
    <x v="2"/>
    <n v="4433.3900000000003"/>
    <x v="1"/>
  </r>
  <r>
    <x v="2"/>
    <x v="1"/>
    <n v="29.3"/>
    <x v="3"/>
    <x v="1"/>
    <x v="3"/>
    <n v="4438.26"/>
    <x v="1"/>
  </r>
  <r>
    <x v="42"/>
    <x v="1"/>
    <n v="28.2"/>
    <x v="2"/>
    <x v="0"/>
    <x v="2"/>
    <n v="24915.22"/>
    <x v="2"/>
  </r>
  <r>
    <x v="9"/>
    <x v="1"/>
    <n v="25"/>
    <x v="3"/>
    <x v="1"/>
    <x v="3"/>
    <n v="23241.47"/>
    <x v="1"/>
  </r>
  <r>
    <x v="43"/>
    <x v="1"/>
    <n v="27.7"/>
    <x v="1"/>
    <x v="1"/>
    <x v="3"/>
    <n v="9957.7199999999993"/>
    <x v="2"/>
  </r>
  <r>
    <x v="28"/>
    <x v="0"/>
    <n v="22.8"/>
    <x v="0"/>
    <x v="1"/>
    <x v="0"/>
    <n v="8269.0400000000009"/>
    <x v="2"/>
  </r>
  <r>
    <x v="32"/>
    <x v="1"/>
    <n v="20.100000000000001"/>
    <x v="3"/>
    <x v="0"/>
    <x v="1"/>
    <n v="18767.740000000002"/>
    <x v="2"/>
  </r>
  <r>
    <x v="35"/>
    <x v="0"/>
    <n v="33.299999999999997"/>
    <x v="5"/>
    <x v="1"/>
    <x v="1"/>
    <n v="36580.28"/>
    <x v="3"/>
  </r>
  <r>
    <x v="28"/>
    <x v="1"/>
    <n v="32.299999999999997"/>
    <x v="1"/>
    <x v="1"/>
    <x v="2"/>
    <n v="8765.25"/>
    <x v="2"/>
  </r>
  <r>
    <x v="25"/>
    <x v="0"/>
    <n v="27.6"/>
    <x v="0"/>
    <x v="1"/>
    <x v="0"/>
    <n v="5383.54"/>
    <x v="1"/>
  </r>
  <r>
    <x v="17"/>
    <x v="1"/>
    <n v="25.5"/>
    <x v="0"/>
    <x v="1"/>
    <x v="2"/>
    <n v="12124.99"/>
    <x v="2"/>
  </r>
  <r>
    <x v="0"/>
    <x v="0"/>
    <n v="24.6"/>
    <x v="1"/>
    <x v="1"/>
    <x v="2"/>
    <n v="2709.24"/>
    <x v="0"/>
  </r>
  <r>
    <x v="21"/>
    <x v="0"/>
    <n v="34.200000000000003"/>
    <x v="3"/>
    <x v="1"/>
    <x v="0"/>
    <n v="3987.93"/>
    <x v="1"/>
  </r>
  <r>
    <x v="40"/>
    <x v="0"/>
    <n v="35.799999999999997"/>
    <x v="2"/>
    <x v="1"/>
    <x v="2"/>
    <n v="12495.29"/>
    <x v="2"/>
  </r>
  <r>
    <x v="27"/>
    <x v="0"/>
    <n v="32.700000000000003"/>
    <x v="3"/>
    <x v="1"/>
    <x v="2"/>
    <n v="26018.95"/>
    <x v="1"/>
  </r>
  <r>
    <x v="43"/>
    <x v="1"/>
    <n v="37"/>
    <x v="0"/>
    <x v="1"/>
    <x v="0"/>
    <n v="8798.59"/>
    <x v="2"/>
  </r>
  <r>
    <x v="20"/>
    <x v="0"/>
    <n v="31"/>
    <x v="2"/>
    <x v="0"/>
    <x v="1"/>
    <n v="35595.589999999997"/>
    <x v="1"/>
  </r>
  <r>
    <x v="42"/>
    <x v="1"/>
    <n v="36.1"/>
    <x v="1"/>
    <x v="0"/>
    <x v="1"/>
    <n v="42211.14"/>
    <x v="2"/>
  </r>
  <r>
    <x v="1"/>
    <x v="1"/>
    <n v="23.3"/>
    <x v="1"/>
    <x v="1"/>
    <x v="1"/>
    <n v="1711.03"/>
    <x v="0"/>
  </r>
  <r>
    <x v="42"/>
    <x v="0"/>
    <n v="45.3"/>
    <x v="1"/>
    <x v="1"/>
    <x v="1"/>
    <n v="8569.86"/>
    <x v="2"/>
  </r>
  <r>
    <x v="27"/>
    <x v="0"/>
    <n v="34.6"/>
    <x v="0"/>
    <x v="1"/>
    <x v="0"/>
    <n v="2020.18"/>
    <x v="1"/>
  </r>
  <r>
    <x v="0"/>
    <x v="1"/>
    <n v="26"/>
    <x v="1"/>
    <x v="0"/>
    <x v="2"/>
    <n v="16450.89"/>
    <x v="0"/>
  </r>
  <r>
    <x v="11"/>
    <x v="1"/>
    <n v="18.7"/>
    <x v="0"/>
    <x v="1"/>
    <x v="2"/>
    <n v="21595.38"/>
    <x v="1"/>
  </r>
  <r>
    <x v="40"/>
    <x v="1"/>
    <n v="31.6"/>
    <x v="0"/>
    <x v="1"/>
    <x v="0"/>
    <n v="9850.43"/>
    <x v="2"/>
  </r>
  <r>
    <x v="7"/>
    <x v="0"/>
    <n v="17.3"/>
    <x v="3"/>
    <x v="1"/>
    <x v="3"/>
    <n v="6877.98"/>
    <x v="1"/>
  </r>
  <r>
    <x v="6"/>
    <x v="0"/>
    <n v="23.7"/>
    <x v="1"/>
    <x v="0"/>
    <x v="2"/>
    <n v="21677.279999999999"/>
    <x v="2"/>
  </r>
  <r>
    <x v="19"/>
    <x v="0"/>
    <n v="35.200000000000003"/>
    <x v="0"/>
    <x v="0"/>
    <x v="1"/>
    <n v="44423.8"/>
    <x v="2"/>
  </r>
  <r>
    <x v="15"/>
    <x v="0"/>
    <n v="27.9"/>
    <x v="0"/>
    <x v="1"/>
    <x v="3"/>
    <n v="4137.5200000000004"/>
    <x v="1"/>
  </r>
  <r>
    <x v="1"/>
    <x v="1"/>
    <n v="21.6"/>
    <x v="0"/>
    <x v="0"/>
    <x v="3"/>
    <n v="13747.87"/>
    <x v="0"/>
  </r>
  <r>
    <x v="35"/>
    <x v="1"/>
    <n v="38.4"/>
    <x v="0"/>
    <x v="1"/>
    <x v="2"/>
    <n v="12950.07"/>
    <x v="3"/>
  </r>
  <r>
    <x v="40"/>
    <x v="0"/>
    <n v="23"/>
    <x v="2"/>
    <x v="1"/>
    <x v="0"/>
    <n v="12094.48"/>
    <x v="2"/>
  </r>
  <r>
    <x v="20"/>
    <x v="1"/>
    <n v="37.1"/>
    <x v="3"/>
    <x v="0"/>
    <x v="1"/>
    <n v="37484.449999999997"/>
    <x v="1"/>
  </r>
  <r>
    <x v="39"/>
    <x v="0"/>
    <n v="30.5"/>
    <x v="1"/>
    <x v="0"/>
    <x v="2"/>
    <n v="39725.519999999997"/>
    <x v="2"/>
  </r>
  <r>
    <x v="20"/>
    <x v="1"/>
    <n v="28.9"/>
    <x v="0"/>
    <x v="1"/>
    <x v="3"/>
    <n v="2250.84"/>
    <x v="1"/>
  </r>
  <r>
    <x v="0"/>
    <x v="1"/>
    <n v="27.3"/>
    <x v="3"/>
    <x v="1"/>
    <x v="2"/>
    <n v="22493.66"/>
    <x v="0"/>
  </r>
  <r>
    <x v="22"/>
    <x v="0"/>
    <n v="28"/>
    <x v="0"/>
    <x v="0"/>
    <x v="2"/>
    <n v="20234.849999999999"/>
    <x v="1"/>
  </r>
  <r>
    <x v="1"/>
    <x v="1"/>
    <n v="23.1"/>
    <x v="0"/>
    <x v="1"/>
    <x v="3"/>
    <n v="1704.7"/>
    <x v="0"/>
  </r>
  <r>
    <x v="34"/>
    <x v="1"/>
    <n v="30.7"/>
    <x v="0"/>
    <x v="0"/>
    <x v="3"/>
    <n v="33475.82"/>
    <x v="1"/>
  </r>
  <r>
    <x v="2"/>
    <x v="0"/>
    <n v="25.8"/>
    <x v="0"/>
    <x v="1"/>
    <x v="0"/>
    <n v="3161.45"/>
    <x v="1"/>
  </r>
  <r>
    <x v="19"/>
    <x v="1"/>
    <n v="35.200000000000003"/>
    <x v="1"/>
    <x v="1"/>
    <x v="3"/>
    <n v="11394.07"/>
    <x v="2"/>
  </r>
  <r>
    <x v="32"/>
    <x v="0"/>
    <n v="24.7"/>
    <x v="3"/>
    <x v="0"/>
    <x v="2"/>
    <n v="21880.82"/>
    <x v="2"/>
  </r>
  <r>
    <x v="32"/>
    <x v="0"/>
    <n v="25.1"/>
    <x v="0"/>
    <x v="1"/>
    <x v="3"/>
    <n v="7325.05"/>
    <x v="2"/>
  </r>
  <r>
    <x v="20"/>
    <x v="1"/>
    <n v="52.6"/>
    <x v="1"/>
    <x v="0"/>
    <x v="1"/>
    <n v="44501.4"/>
    <x v="1"/>
  </r>
  <r>
    <x v="9"/>
    <x v="0"/>
    <n v="22.5"/>
    <x v="1"/>
    <x v="1"/>
    <x v="2"/>
    <n v="3594.17"/>
    <x v="1"/>
  </r>
  <r>
    <x v="41"/>
    <x v="1"/>
    <n v="30.9"/>
    <x v="0"/>
    <x v="0"/>
    <x v="0"/>
    <n v="39727.61"/>
    <x v="2"/>
  </r>
  <r>
    <x v="36"/>
    <x v="0"/>
    <n v="37"/>
    <x v="1"/>
    <x v="1"/>
    <x v="2"/>
    <n v="8023.14"/>
    <x v="2"/>
  </r>
  <r>
    <x v="33"/>
    <x v="1"/>
    <n v="26.4"/>
    <x v="0"/>
    <x v="1"/>
    <x v="3"/>
    <n v="14394.56"/>
    <x v="3"/>
  </r>
  <r>
    <x v="41"/>
    <x v="1"/>
    <n v="29.8"/>
    <x v="1"/>
    <x v="1"/>
    <x v="3"/>
    <n v="9288.0300000000007"/>
    <x v="2"/>
  </r>
  <r>
    <x v="42"/>
    <x v="1"/>
    <n v="29.8"/>
    <x v="2"/>
    <x v="0"/>
    <x v="0"/>
    <n v="25309.49"/>
    <x v="2"/>
  </r>
  <r>
    <x v="13"/>
    <x v="0"/>
    <n v="21.5"/>
    <x v="0"/>
    <x v="1"/>
    <x v="2"/>
    <n v="3353.47"/>
    <x v="1"/>
  </r>
  <r>
    <x v="19"/>
    <x v="1"/>
    <n v="27.6"/>
    <x v="0"/>
    <x v="1"/>
    <x v="2"/>
    <n v="10594.5"/>
    <x v="2"/>
  </r>
  <r>
    <x v="28"/>
    <x v="0"/>
    <n v="28.9"/>
    <x v="0"/>
    <x v="1"/>
    <x v="0"/>
    <n v="8277.52"/>
    <x v="2"/>
  </r>
  <r>
    <x v="39"/>
    <x v="0"/>
    <n v="31.8"/>
    <x v="0"/>
    <x v="1"/>
    <x v="1"/>
    <n v="17929.3"/>
    <x v="2"/>
  </r>
  <r>
    <x v="23"/>
    <x v="0"/>
    <n v="39.5"/>
    <x v="0"/>
    <x v="1"/>
    <x v="1"/>
    <n v="2480.98"/>
    <x v="1"/>
  </r>
  <r>
    <x v="4"/>
    <x v="1"/>
    <n v="33.799999999999997"/>
    <x v="1"/>
    <x v="1"/>
    <x v="2"/>
    <n v="4462.72"/>
    <x v="1"/>
  </r>
  <r>
    <x v="23"/>
    <x v="1"/>
    <n v="32"/>
    <x v="0"/>
    <x v="1"/>
    <x v="1"/>
    <n v="1981.58"/>
    <x v="1"/>
  </r>
  <r>
    <x v="37"/>
    <x v="1"/>
    <n v="27.9"/>
    <x v="1"/>
    <x v="1"/>
    <x v="1"/>
    <n v="11554.22"/>
    <x v="2"/>
  </r>
  <r>
    <x v="17"/>
    <x v="1"/>
    <n v="41.1"/>
    <x v="1"/>
    <x v="0"/>
    <x v="1"/>
    <n v="48970.25"/>
    <x v="2"/>
  </r>
  <r>
    <x v="26"/>
    <x v="1"/>
    <n v="28.6"/>
    <x v="2"/>
    <x v="1"/>
    <x v="2"/>
    <n v="6548.2"/>
    <x v="1"/>
  </r>
  <r>
    <x v="38"/>
    <x v="0"/>
    <n v="25.6"/>
    <x v="5"/>
    <x v="1"/>
    <x v="0"/>
    <n v="5708.87"/>
    <x v="1"/>
  </r>
  <r>
    <x v="44"/>
    <x v="0"/>
    <n v="25.3"/>
    <x v="1"/>
    <x v="1"/>
    <x v="0"/>
    <n v="7045.5"/>
    <x v="2"/>
  </r>
  <r>
    <x v="28"/>
    <x v="1"/>
    <n v="37.299999999999997"/>
    <x v="3"/>
    <x v="1"/>
    <x v="1"/>
    <n v="8978.19"/>
    <x v="2"/>
  </r>
  <r>
    <x v="46"/>
    <x v="1"/>
    <n v="42.7"/>
    <x v="0"/>
    <x v="1"/>
    <x v="3"/>
    <n v="5757.41"/>
    <x v="1"/>
  </r>
  <r>
    <x v="18"/>
    <x v="1"/>
    <n v="21.7"/>
    <x v="1"/>
    <x v="1"/>
    <x v="2"/>
    <n v="14349.85"/>
    <x v="3"/>
  </r>
  <r>
    <x v="40"/>
    <x v="0"/>
    <n v="31.9"/>
    <x v="1"/>
    <x v="1"/>
    <x v="1"/>
    <n v="10928.85"/>
    <x v="2"/>
  </r>
  <r>
    <x v="7"/>
    <x v="1"/>
    <n v="37.1"/>
    <x v="1"/>
    <x v="0"/>
    <x v="1"/>
    <n v="39871.699999999997"/>
    <x v="1"/>
  </r>
  <r>
    <x v="18"/>
    <x v="1"/>
    <n v="31.4"/>
    <x v="0"/>
    <x v="1"/>
    <x v="3"/>
    <n v="13974.46"/>
    <x v="3"/>
  </r>
  <r>
    <x v="27"/>
    <x v="1"/>
    <n v="31.3"/>
    <x v="0"/>
    <x v="1"/>
    <x v="2"/>
    <n v="1909.53"/>
    <x v="1"/>
  </r>
  <r>
    <x v="40"/>
    <x v="0"/>
    <n v="28.9"/>
    <x v="3"/>
    <x v="1"/>
    <x v="3"/>
    <n v="12096.65"/>
    <x v="2"/>
  </r>
  <r>
    <x v="8"/>
    <x v="0"/>
    <n v="18.3"/>
    <x v="0"/>
    <x v="1"/>
    <x v="3"/>
    <n v="13204.29"/>
    <x v="3"/>
  </r>
  <r>
    <x v="4"/>
    <x v="0"/>
    <n v="29.6"/>
    <x v="1"/>
    <x v="1"/>
    <x v="1"/>
    <n v="4562.84"/>
    <x v="1"/>
  </r>
  <r>
    <x v="42"/>
    <x v="0"/>
    <n v="32"/>
    <x v="1"/>
    <x v="1"/>
    <x v="0"/>
    <n v="8551.35"/>
    <x v="2"/>
  </r>
  <r>
    <x v="27"/>
    <x v="1"/>
    <n v="26"/>
    <x v="0"/>
    <x v="1"/>
    <x v="3"/>
    <n v="2102.2600000000002"/>
    <x v="1"/>
  </r>
  <r>
    <x v="2"/>
    <x v="1"/>
    <n v="31.7"/>
    <x v="0"/>
    <x v="0"/>
    <x v="1"/>
    <n v="34672.15"/>
    <x v="1"/>
  </r>
  <r>
    <x v="18"/>
    <x v="1"/>
    <n v="33.700000000000003"/>
    <x v="2"/>
    <x v="1"/>
    <x v="1"/>
    <n v="15161.53"/>
    <x v="3"/>
  </r>
  <r>
    <x v="1"/>
    <x v="1"/>
    <n v="21.8"/>
    <x v="3"/>
    <x v="1"/>
    <x v="1"/>
    <n v="11884.05"/>
    <x v="0"/>
  </r>
  <r>
    <x v="4"/>
    <x v="1"/>
    <n v="27.8"/>
    <x v="1"/>
    <x v="1"/>
    <x v="2"/>
    <n v="4454.3999999999996"/>
    <x v="1"/>
  </r>
  <r>
    <x v="25"/>
    <x v="1"/>
    <n v="20"/>
    <x v="1"/>
    <x v="1"/>
    <x v="2"/>
    <n v="5855.9"/>
    <x v="1"/>
  </r>
  <r>
    <x v="4"/>
    <x v="1"/>
    <n v="31.5"/>
    <x v="1"/>
    <x v="1"/>
    <x v="0"/>
    <n v="4076.5"/>
    <x v="1"/>
  </r>
  <r>
    <x v="10"/>
    <x v="0"/>
    <n v="30.5"/>
    <x v="3"/>
    <x v="1"/>
    <x v="2"/>
    <n v="15019.76"/>
    <x v="3"/>
  </r>
  <r>
    <x v="46"/>
    <x v="0"/>
    <n v="18.3"/>
    <x v="4"/>
    <x v="0"/>
    <x v="0"/>
    <n v="19023.259999999998"/>
    <x v="1"/>
  </r>
  <r>
    <x v="19"/>
    <x v="1"/>
    <n v="29"/>
    <x v="0"/>
    <x v="1"/>
    <x v="3"/>
    <n v="10796.35"/>
    <x v="2"/>
  </r>
  <r>
    <x v="37"/>
    <x v="1"/>
    <n v="31.5"/>
    <x v="0"/>
    <x v="1"/>
    <x v="2"/>
    <n v="11353.23"/>
    <x v="2"/>
  </r>
  <r>
    <x v="14"/>
    <x v="1"/>
    <n v="47.7"/>
    <x v="1"/>
    <x v="1"/>
    <x v="1"/>
    <n v="9748.91"/>
    <x v="2"/>
  </r>
  <r>
    <x v="12"/>
    <x v="1"/>
    <n v="22.1"/>
    <x v="0"/>
    <x v="1"/>
    <x v="0"/>
    <n v="10577.09"/>
    <x v="2"/>
  </r>
  <r>
    <x v="42"/>
    <x v="1"/>
    <n v="36.200000000000003"/>
    <x v="0"/>
    <x v="0"/>
    <x v="1"/>
    <n v="41676.080000000002"/>
    <x v="2"/>
  </r>
  <r>
    <x v="19"/>
    <x v="0"/>
    <n v="29.8"/>
    <x v="0"/>
    <x v="1"/>
    <x v="3"/>
    <n v="11286.54"/>
    <x v="2"/>
  </r>
  <r>
    <x v="11"/>
    <x v="1"/>
    <n v="32.700000000000003"/>
    <x v="2"/>
    <x v="1"/>
    <x v="0"/>
    <n v="3591.48"/>
    <x v="1"/>
  </r>
  <r>
    <x v="20"/>
    <x v="0"/>
    <n v="30.4"/>
    <x v="0"/>
    <x v="0"/>
    <x v="2"/>
    <n v="33907.550000000003"/>
    <x v="1"/>
  </r>
  <r>
    <x v="45"/>
    <x v="0"/>
    <n v="33.700000000000003"/>
    <x v="5"/>
    <x v="1"/>
    <x v="0"/>
    <n v="11299.34"/>
    <x v="2"/>
  </r>
  <r>
    <x v="1"/>
    <x v="0"/>
    <n v="31.4"/>
    <x v="5"/>
    <x v="1"/>
    <x v="3"/>
    <n v="4561.1899999999996"/>
    <x v="0"/>
  </r>
  <r>
    <x v="43"/>
    <x v="0"/>
    <n v="35"/>
    <x v="3"/>
    <x v="0"/>
    <x v="3"/>
    <n v="44641.2"/>
    <x v="2"/>
  </r>
  <r>
    <x v="20"/>
    <x v="1"/>
    <n v="33.799999999999997"/>
    <x v="0"/>
    <x v="1"/>
    <x v="1"/>
    <n v="1674.63"/>
    <x v="1"/>
  </r>
  <r>
    <x v="14"/>
    <x v="0"/>
    <n v="30.9"/>
    <x v="0"/>
    <x v="1"/>
    <x v="3"/>
    <n v="23045.57"/>
    <x v="2"/>
  </r>
  <r>
    <x v="9"/>
    <x v="0"/>
    <n v="34"/>
    <x v="1"/>
    <x v="1"/>
    <x v="1"/>
    <n v="3227.12"/>
    <x v="1"/>
  </r>
  <r>
    <x v="3"/>
    <x v="0"/>
    <n v="19.100000000000001"/>
    <x v="3"/>
    <x v="0"/>
    <x v="3"/>
    <n v="16776.3"/>
    <x v="1"/>
  </r>
  <r>
    <x v="31"/>
    <x v="1"/>
    <n v="28.6"/>
    <x v="2"/>
    <x v="1"/>
    <x v="0"/>
    <n v="11253.42"/>
    <x v="2"/>
  </r>
  <r>
    <x v="38"/>
    <x v="1"/>
    <n v="38.9"/>
    <x v="1"/>
    <x v="1"/>
    <x v="1"/>
    <n v="3471.41"/>
    <x v="1"/>
  </r>
  <r>
    <x v="30"/>
    <x v="1"/>
    <n v="36.1"/>
    <x v="0"/>
    <x v="1"/>
    <x v="1"/>
    <n v="11363.28"/>
    <x v="2"/>
  </r>
  <r>
    <x v="7"/>
    <x v="1"/>
    <n v="29.8"/>
    <x v="0"/>
    <x v="1"/>
    <x v="0"/>
    <n v="20420.599999999999"/>
    <x v="1"/>
  </r>
  <r>
    <x v="40"/>
    <x v="0"/>
    <n v="31.2"/>
    <x v="0"/>
    <x v="1"/>
    <x v="1"/>
    <n v="10338.93"/>
    <x v="2"/>
  </r>
  <r>
    <x v="41"/>
    <x v="0"/>
    <n v="29.9"/>
    <x v="0"/>
    <x v="1"/>
    <x v="2"/>
    <n v="8988.16"/>
    <x v="2"/>
  </r>
  <r>
    <x v="45"/>
    <x v="0"/>
    <n v="26.2"/>
    <x v="3"/>
    <x v="1"/>
    <x v="2"/>
    <n v="10493.95"/>
    <x v="2"/>
  </r>
  <r>
    <x v="21"/>
    <x v="1"/>
    <n v="30"/>
    <x v="1"/>
    <x v="1"/>
    <x v="0"/>
    <n v="2904.09"/>
    <x v="1"/>
  </r>
  <r>
    <x v="39"/>
    <x v="1"/>
    <n v="20.399999999999999"/>
    <x v="2"/>
    <x v="1"/>
    <x v="1"/>
    <n v="8605.36"/>
    <x v="2"/>
  </r>
  <r>
    <x v="40"/>
    <x v="0"/>
    <n v="32.299999999999997"/>
    <x v="1"/>
    <x v="1"/>
    <x v="3"/>
    <n v="11512.41"/>
    <x v="2"/>
  </r>
  <r>
    <x v="25"/>
    <x v="1"/>
    <n v="38.4"/>
    <x v="2"/>
    <x v="0"/>
    <x v="1"/>
    <n v="41949.24"/>
    <x v="1"/>
  </r>
  <r>
    <x v="28"/>
    <x v="0"/>
    <n v="25.9"/>
    <x v="2"/>
    <x v="0"/>
    <x v="1"/>
    <n v="24180.93"/>
    <x v="2"/>
  </r>
  <r>
    <x v="2"/>
    <x v="0"/>
    <n v="26.3"/>
    <x v="2"/>
    <x v="1"/>
    <x v="2"/>
    <n v="5312.17"/>
    <x v="1"/>
  </r>
  <r>
    <x v="11"/>
    <x v="1"/>
    <n v="24.5"/>
    <x v="0"/>
    <x v="1"/>
    <x v="3"/>
    <n v="2396.1"/>
    <x v="1"/>
  </r>
  <r>
    <x v="19"/>
    <x v="1"/>
    <n v="32.700000000000003"/>
    <x v="1"/>
    <x v="1"/>
    <x v="1"/>
    <n v="10807.49"/>
    <x v="2"/>
  </r>
  <r>
    <x v="24"/>
    <x v="1"/>
    <n v="29.6"/>
    <x v="4"/>
    <x v="1"/>
    <x v="3"/>
    <n v="9222.4"/>
    <x v="2"/>
  </r>
  <r>
    <x v="9"/>
    <x v="1"/>
    <n v="33.299999999999997"/>
    <x v="3"/>
    <x v="0"/>
    <x v="1"/>
    <n v="36124.57"/>
    <x v="1"/>
  </r>
  <r>
    <x v="3"/>
    <x v="1"/>
    <n v="35.799999999999997"/>
    <x v="1"/>
    <x v="0"/>
    <x v="1"/>
    <n v="38282.75"/>
    <x v="1"/>
  </r>
  <r>
    <x v="15"/>
    <x v="0"/>
    <n v="20"/>
    <x v="2"/>
    <x v="1"/>
    <x v="2"/>
    <n v="5693.43"/>
    <x v="1"/>
  </r>
  <r>
    <x v="11"/>
    <x v="0"/>
    <n v="31.4"/>
    <x v="0"/>
    <x v="0"/>
    <x v="0"/>
    <n v="34166.269999999997"/>
    <x v="1"/>
  </r>
  <r>
    <x v="6"/>
    <x v="1"/>
    <n v="38.200000000000003"/>
    <x v="3"/>
    <x v="1"/>
    <x v="1"/>
    <n v="8347.16"/>
    <x v="2"/>
  </r>
  <r>
    <x v="31"/>
    <x v="0"/>
    <n v="36.9"/>
    <x v="2"/>
    <x v="0"/>
    <x v="2"/>
    <n v="46661.440000000002"/>
    <x v="2"/>
  </r>
  <r>
    <x v="13"/>
    <x v="0"/>
    <n v="32.4"/>
    <x v="1"/>
    <x v="1"/>
    <x v="3"/>
    <n v="18903.490000000002"/>
    <x v="1"/>
  </r>
  <r>
    <x v="11"/>
    <x v="0"/>
    <n v="42.8"/>
    <x v="1"/>
    <x v="0"/>
    <x v="3"/>
    <n v="40904.199999999997"/>
    <x v="1"/>
  </r>
  <r>
    <x v="18"/>
    <x v="0"/>
    <n v="25.1"/>
    <x v="0"/>
    <x v="1"/>
    <x v="2"/>
    <n v="14254.61"/>
    <x v="3"/>
  </r>
  <r>
    <x v="19"/>
    <x v="1"/>
    <n v="29.9"/>
    <x v="0"/>
    <x v="1"/>
    <x v="0"/>
    <n v="10214.64"/>
    <x v="2"/>
  </r>
  <r>
    <x v="22"/>
    <x v="0"/>
    <n v="35.9"/>
    <x v="3"/>
    <x v="1"/>
    <x v="1"/>
    <n v="5836.52"/>
    <x v="1"/>
  </r>
  <r>
    <x v="16"/>
    <x v="1"/>
    <n v="32.799999999999997"/>
    <x v="1"/>
    <x v="1"/>
    <x v="0"/>
    <n v="14358.36"/>
    <x v="1"/>
  </r>
  <r>
    <x v="0"/>
    <x v="0"/>
    <n v="18.600000000000001"/>
    <x v="0"/>
    <x v="1"/>
    <x v="0"/>
    <n v="1728.9"/>
    <x v="0"/>
  </r>
  <r>
    <x v="46"/>
    <x v="0"/>
    <n v="23.9"/>
    <x v="4"/>
    <x v="1"/>
    <x v="1"/>
    <n v="8582.2999999999993"/>
    <x v="1"/>
  </r>
  <r>
    <x v="13"/>
    <x v="1"/>
    <n v="45.9"/>
    <x v="3"/>
    <x v="1"/>
    <x v="0"/>
    <n v="3693.43"/>
    <x v="1"/>
  </r>
  <r>
    <x v="37"/>
    <x v="1"/>
    <n v="40.299999999999997"/>
    <x v="0"/>
    <x v="1"/>
    <x v="3"/>
    <n v="20709.02"/>
    <x v="2"/>
  </r>
  <r>
    <x v="14"/>
    <x v="0"/>
    <n v="18.3"/>
    <x v="0"/>
    <x v="1"/>
    <x v="2"/>
    <n v="9991.0400000000009"/>
    <x v="2"/>
  </r>
  <r>
    <x v="2"/>
    <x v="1"/>
    <n v="33.799999999999997"/>
    <x v="0"/>
    <x v="1"/>
    <x v="2"/>
    <n v="19673.34"/>
    <x v="1"/>
  </r>
  <r>
    <x v="45"/>
    <x v="0"/>
    <n v="28.1"/>
    <x v="2"/>
    <x v="1"/>
    <x v="2"/>
    <n v="11085.59"/>
    <x v="2"/>
  </r>
  <r>
    <x v="36"/>
    <x v="0"/>
    <n v="25"/>
    <x v="1"/>
    <x v="1"/>
    <x v="0"/>
    <n v="7623.52"/>
    <x v="2"/>
  </r>
  <r>
    <x v="21"/>
    <x v="0"/>
    <n v="22.2"/>
    <x v="0"/>
    <x v="1"/>
    <x v="2"/>
    <n v="3176.29"/>
    <x v="1"/>
  </r>
  <r>
    <x v="3"/>
    <x v="1"/>
    <n v="30.3"/>
    <x v="0"/>
    <x v="1"/>
    <x v="1"/>
    <n v="3704.35"/>
    <x v="1"/>
  </r>
  <r>
    <x v="0"/>
    <x v="0"/>
    <n v="32.5"/>
    <x v="0"/>
    <x v="0"/>
    <x v="2"/>
    <n v="36898.730000000003"/>
    <x v="0"/>
  </r>
  <r>
    <x v="45"/>
    <x v="1"/>
    <n v="37.1"/>
    <x v="1"/>
    <x v="1"/>
    <x v="1"/>
    <n v="9048.0300000000007"/>
    <x v="2"/>
  </r>
  <r>
    <x v="24"/>
    <x v="0"/>
    <n v="32.6"/>
    <x v="2"/>
    <x v="1"/>
    <x v="0"/>
    <n v="7954.52"/>
    <x v="2"/>
  </r>
  <r>
    <x v="14"/>
    <x v="0"/>
    <n v="24.9"/>
    <x v="0"/>
    <x v="1"/>
    <x v="1"/>
    <n v="27117.99"/>
    <x v="2"/>
  </r>
  <r>
    <x v="46"/>
    <x v="1"/>
    <n v="32.299999999999997"/>
    <x v="3"/>
    <x v="1"/>
    <x v="1"/>
    <n v="6338.08"/>
    <x v="1"/>
  </r>
  <r>
    <x v="45"/>
    <x v="1"/>
    <n v="32.299999999999997"/>
    <x v="3"/>
    <x v="1"/>
    <x v="0"/>
    <n v="9630.4"/>
    <x v="2"/>
  </r>
  <r>
    <x v="14"/>
    <x v="1"/>
    <n v="32.799999999999997"/>
    <x v="2"/>
    <x v="1"/>
    <x v="2"/>
    <n v="11289.11"/>
    <x v="2"/>
  </r>
  <r>
    <x v="8"/>
    <x v="1"/>
    <n v="32.799999999999997"/>
    <x v="0"/>
    <x v="0"/>
    <x v="0"/>
    <n v="52590.83"/>
    <x v="3"/>
  </r>
  <r>
    <x v="34"/>
    <x v="0"/>
    <n v="31.9"/>
    <x v="0"/>
    <x v="1"/>
    <x v="2"/>
    <n v="2261.5700000000002"/>
    <x v="1"/>
  </r>
  <r>
    <x v="19"/>
    <x v="1"/>
    <n v="21.5"/>
    <x v="1"/>
    <x v="1"/>
    <x v="0"/>
    <n v="10791.96"/>
    <x v="2"/>
  </r>
  <r>
    <x v="44"/>
    <x v="1"/>
    <n v="34.1"/>
    <x v="0"/>
    <x v="1"/>
    <x v="0"/>
    <n v="5979.73"/>
    <x v="2"/>
  </r>
  <r>
    <x v="1"/>
    <x v="0"/>
    <n v="30.3"/>
    <x v="0"/>
    <x v="1"/>
    <x v="3"/>
    <n v="2203.7399999999998"/>
    <x v="0"/>
  </r>
  <r>
    <x v="30"/>
    <x v="0"/>
    <n v="36.5"/>
    <x v="0"/>
    <x v="1"/>
    <x v="2"/>
    <n v="12235.84"/>
    <x v="2"/>
  </r>
  <r>
    <x v="32"/>
    <x v="0"/>
    <n v="32.6"/>
    <x v="2"/>
    <x v="0"/>
    <x v="1"/>
    <n v="40941.29"/>
    <x v="2"/>
  </r>
  <r>
    <x v="22"/>
    <x v="0"/>
    <n v="35.799999999999997"/>
    <x v="1"/>
    <x v="1"/>
    <x v="2"/>
    <n v="5630.46"/>
    <x v="1"/>
  </r>
  <r>
    <x v="28"/>
    <x v="0"/>
    <n v="27.9"/>
    <x v="5"/>
    <x v="1"/>
    <x v="2"/>
    <n v="11015.17"/>
    <x v="2"/>
  </r>
  <r>
    <x v="26"/>
    <x v="0"/>
    <n v="22.1"/>
    <x v="2"/>
    <x v="1"/>
    <x v="3"/>
    <n v="7228.22"/>
    <x v="1"/>
  </r>
  <r>
    <x v="0"/>
    <x v="1"/>
    <n v="44.9"/>
    <x v="0"/>
    <x v="0"/>
    <x v="1"/>
    <n v="39722.75"/>
    <x v="0"/>
  </r>
  <r>
    <x v="11"/>
    <x v="0"/>
    <n v="23.2"/>
    <x v="3"/>
    <x v="1"/>
    <x v="2"/>
    <n v="14426.07"/>
    <x v="1"/>
  </r>
  <r>
    <x v="34"/>
    <x v="0"/>
    <n v="30.6"/>
    <x v="0"/>
    <x v="1"/>
    <x v="3"/>
    <n v="2459.7199999999998"/>
    <x v="1"/>
  </r>
  <r>
    <x v="4"/>
    <x v="0"/>
    <n v="41.1"/>
    <x v="0"/>
    <x v="1"/>
    <x v="0"/>
    <n v="3989.84"/>
    <x v="1"/>
  </r>
  <r>
    <x v="32"/>
    <x v="0"/>
    <n v="34.6"/>
    <x v="1"/>
    <x v="1"/>
    <x v="2"/>
    <n v="7727.25"/>
    <x v="2"/>
  </r>
  <r>
    <x v="16"/>
    <x v="1"/>
    <n v="42.1"/>
    <x v="3"/>
    <x v="1"/>
    <x v="1"/>
    <n v="5124.1899999999996"/>
    <x v="1"/>
  </r>
  <r>
    <x v="15"/>
    <x v="1"/>
    <n v="38.799999999999997"/>
    <x v="1"/>
    <x v="1"/>
    <x v="1"/>
    <n v="18963.169999999998"/>
    <x v="1"/>
  </r>
  <r>
    <x v="1"/>
    <x v="0"/>
    <n v="28.2"/>
    <x v="0"/>
    <x v="1"/>
    <x v="3"/>
    <n v="2200.83"/>
    <x v="0"/>
  </r>
  <r>
    <x v="24"/>
    <x v="0"/>
    <n v="28.3"/>
    <x v="1"/>
    <x v="1"/>
    <x v="2"/>
    <n v="7153.55"/>
    <x v="2"/>
  </r>
  <r>
    <x v="22"/>
    <x v="0"/>
    <n v="26.1"/>
    <x v="0"/>
    <x v="1"/>
    <x v="3"/>
    <n v="5227.99"/>
    <x v="1"/>
  </r>
  <r>
    <x v="37"/>
    <x v="1"/>
    <n v="40.4"/>
    <x v="0"/>
    <x v="1"/>
    <x v="1"/>
    <n v="10982.5"/>
    <x v="2"/>
  </r>
  <r>
    <x v="38"/>
    <x v="0"/>
    <n v="24.6"/>
    <x v="3"/>
    <x v="1"/>
    <x v="0"/>
    <n v="4529.4799999999996"/>
    <x v="1"/>
  </r>
  <r>
    <x v="4"/>
    <x v="1"/>
    <n v="35.200000000000003"/>
    <x v="3"/>
    <x v="1"/>
    <x v="0"/>
    <n v="4670.6400000000003"/>
    <x v="1"/>
  </r>
  <r>
    <x v="7"/>
    <x v="0"/>
    <n v="34.1"/>
    <x v="1"/>
    <x v="1"/>
    <x v="2"/>
    <n v="6112.35"/>
    <x v="1"/>
  </r>
  <r>
    <x v="1"/>
    <x v="1"/>
    <n v="27.4"/>
    <x v="1"/>
    <x v="0"/>
    <x v="3"/>
    <n v="17178.68"/>
    <x v="0"/>
  </r>
  <r>
    <x v="32"/>
    <x v="0"/>
    <n v="26.7"/>
    <x v="3"/>
    <x v="0"/>
    <x v="0"/>
    <n v="22478.6"/>
    <x v="2"/>
  </r>
  <r>
    <x v="12"/>
    <x v="0"/>
    <n v="41.9"/>
    <x v="0"/>
    <x v="1"/>
    <x v="1"/>
    <n v="11093.62"/>
    <x v="2"/>
  </r>
  <r>
    <x v="25"/>
    <x v="1"/>
    <n v="29.3"/>
    <x v="3"/>
    <x v="1"/>
    <x v="2"/>
    <n v="6457.84"/>
    <x v="1"/>
  </r>
  <r>
    <x v="38"/>
    <x v="1"/>
    <n v="32.1"/>
    <x v="3"/>
    <x v="1"/>
    <x v="2"/>
    <n v="4433.92"/>
    <x v="1"/>
  </r>
  <r>
    <x v="20"/>
    <x v="0"/>
    <n v="27.1"/>
    <x v="0"/>
    <x v="1"/>
    <x v="0"/>
    <n v="2154.36"/>
    <x v="1"/>
  </r>
  <r>
    <x v="14"/>
    <x v="0"/>
    <n v="24.1"/>
    <x v="1"/>
    <x v="0"/>
    <x v="2"/>
    <n v="23887.66"/>
    <x v="2"/>
  </r>
  <r>
    <x v="29"/>
    <x v="0"/>
    <n v="27.4"/>
    <x v="1"/>
    <x v="1"/>
    <x v="0"/>
    <n v="6496.89"/>
    <x v="2"/>
  </r>
  <r>
    <x v="11"/>
    <x v="0"/>
    <n v="34.9"/>
    <x v="0"/>
    <x v="1"/>
    <x v="3"/>
    <n v="2899.49"/>
    <x v="1"/>
  </r>
  <r>
    <x v="5"/>
    <x v="1"/>
    <n v="29.8"/>
    <x v="0"/>
    <x v="0"/>
    <x v="1"/>
    <n v="19350.37"/>
    <x v="1"/>
  </r>
  <r>
    <x v="44"/>
    <x v="0"/>
    <n v="41.3"/>
    <x v="1"/>
    <x v="1"/>
    <x v="3"/>
    <n v="7650.77"/>
    <x v="2"/>
  </r>
  <r>
    <x v="23"/>
    <x v="0"/>
    <n v="29.9"/>
    <x v="0"/>
    <x v="1"/>
    <x v="2"/>
    <n v="2850.68"/>
    <x v="1"/>
  </r>
  <r>
    <x v="9"/>
    <x v="0"/>
    <n v="30.3"/>
    <x v="0"/>
    <x v="1"/>
    <x v="0"/>
    <n v="2632.99"/>
    <x v="1"/>
  </r>
  <r>
    <x v="28"/>
    <x v="0"/>
    <n v="27.4"/>
    <x v="1"/>
    <x v="1"/>
    <x v="3"/>
    <n v="9447.3799999999992"/>
    <x v="2"/>
  </r>
  <r>
    <x v="11"/>
    <x v="0"/>
    <n v="28.5"/>
    <x v="1"/>
    <x v="0"/>
    <x v="1"/>
    <n v="18328.240000000002"/>
    <x v="1"/>
  </r>
  <r>
    <x v="39"/>
    <x v="1"/>
    <n v="23.6"/>
    <x v="3"/>
    <x v="1"/>
    <x v="3"/>
    <n v="8603.82"/>
    <x v="2"/>
  </r>
  <r>
    <x v="34"/>
    <x v="1"/>
    <n v="35.6"/>
    <x v="2"/>
    <x v="0"/>
    <x v="2"/>
    <n v="37465.339999999997"/>
    <x v="1"/>
  </r>
  <r>
    <x v="10"/>
    <x v="0"/>
    <n v="32.700000000000003"/>
    <x v="0"/>
    <x v="1"/>
    <x v="2"/>
    <n v="13844.8"/>
    <x v="3"/>
  </r>
  <r>
    <x v="32"/>
    <x v="0"/>
    <n v="25.3"/>
    <x v="1"/>
    <x v="0"/>
    <x v="3"/>
    <n v="21771.34"/>
    <x v="2"/>
  </r>
  <r>
    <x v="11"/>
    <x v="0"/>
    <n v="28"/>
    <x v="0"/>
    <x v="1"/>
    <x v="0"/>
    <n v="13126.68"/>
    <x v="1"/>
  </r>
  <r>
    <x v="5"/>
    <x v="0"/>
    <n v="32.799999999999997"/>
    <x v="3"/>
    <x v="1"/>
    <x v="2"/>
    <n v="5327.4"/>
    <x v="1"/>
  </r>
  <r>
    <x v="24"/>
    <x v="0"/>
    <n v="21.8"/>
    <x v="1"/>
    <x v="1"/>
    <x v="3"/>
    <n v="13725.47"/>
    <x v="2"/>
  </r>
  <r>
    <x v="30"/>
    <x v="0"/>
    <n v="32.4"/>
    <x v="1"/>
    <x v="1"/>
    <x v="3"/>
    <n v="13019.16"/>
    <x v="2"/>
  </r>
  <r>
    <x v="28"/>
    <x v="0"/>
    <n v="36.6"/>
    <x v="0"/>
    <x v="1"/>
    <x v="2"/>
    <n v="8671.19"/>
    <x v="2"/>
  </r>
  <r>
    <x v="5"/>
    <x v="0"/>
    <n v="21.8"/>
    <x v="0"/>
    <x v="1"/>
    <x v="2"/>
    <n v="4134.08"/>
    <x v="1"/>
  </r>
  <r>
    <x v="0"/>
    <x v="0"/>
    <n v="27.9"/>
    <x v="2"/>
    <x v="1"/>
    <x v="2"/>
    <n v="18838.7"/>
    <x v="0"/>
  </r>
  <r>
    <x v="0"/>
    <x v="0"/>
    <n v="30"/>
    <x v="0"/>
    <x v="0"/>
    <x v="2"/>
    <n v="33307.550000000003"/>
    <x v="0"/>
  </r>
  <r>
    <x v="24"/>
    <x v="1"/>
    <n v="33.6"/>
    <x v="0"/>
    <x v="1"/>
    <x v="1"/>
    <n v="5699.84"/>
    <x v="2"/>
  </r>
  <r>
    <x v="29"/>
    <x v="1"/>
    <n v="29.4"/>
    <x v="1"/>
    <x v="1"/>
    <x v="2"/>
    <n v="6393.6"/>
    <x v="2"/>
  </r>
  <r>
    <x v="5"/>
    <x v="0"/>
    <n v="25.8"/>
    <x v="3"/>
    <x v="1"/>
    <x v="0"/>
    <n v="4934.71"/>
    <x v="1"/>
  </r>
  <r>
    <x v="7"/>
    <x v="1"/>
    <n v="24.3"/>
    <x v="3"/>
    <x v="1"/>
    <x v="2"/>
    <n v="6198.75"/>
    <x v="1"/>
  </r>
  <r>
    <x v="6"/>
    <x v="1"/>
    <n v="40.4"/>
    <x v="3"/>
    <x v="1"/>
    <x v="2"/>
    <n v="8733.23"/>
    <x v="2"/>
  </r>
  <r>
    <x v="20"/>
    <x v="1"/>
    <n v="32.1"/>
    <x v="0"/>
    <x v="1"/>
    <x v="2"/>
    <n v="2055.3200000000002"/>
    <x v="1"/>
  </r>
  <r>
    <x v="43"/>
    <x v="1"/>
    <n v="32.299999999999997"/>
    <x v="1"/>
    <x v="1"/>
    <x v="3"/>
    <n v="9964.06"/>
    <x v="2"/>
  </r>
  <r>
    <x v="1"/>
    <x v="0"/>
    <n v="27.3"/>
    <x v="2"/>
    <x v="0"/>
    <x v="1"/>
    <n v="18223.45"/>
    <x v="0"/>
  </r>
  <r>
    <x v="22"/>
    <x v="1"/>
    <n v="17.899999999999999"/>
    <x v="1"/>
    <x v="1"/>
    <x v="2"/>
    <n v="5116.5"/>
    <x v="1"/>
  </r>
  <r>
    <x v="17"/>
    <x v="0"/>
    <n v="34.799999999999997"/>
    <x v="3"/>
    <x v="1"/>
    <x v="0"/>
    <n v="36910.61"/>
    <x v="2"/>
  </r>
  <r>
    <x v="26"/>
    <x v="1"/>
    <n v="33.4"/>
    <x v="3"/>
    <x v="0"/>
    <x v="0"/>
    <n v="38415.47"/>
    <x v="1"/>
  </r>
  <r>
    <x v="7"/>
    <x v="0"/>
    <n v="25.6"/>
    <x v="1"/>
    <x v="0"/>
    <x v="3"/>
    <n v="20296.86"/>
    <x v="1"/>
  </r>
  <r>
    <x v="17"/>
    <x v="1"/>
    <n v="37.1"/>
    <x v="1"/>
    <x v="1"/>
    <x v="0"/>
    <n v="12347.17"/>
    <x v="2"/>
  </r>
  <r>
    <x v="26"/>
    <x v="1"/>
    <n v="30.9"/>
    <x v="1"/>
    <x v="1"/>
    <x v="2"/>
    <n v="5373.36"/>
    <x v="1"/>
  </r>
  <r>
    <x v="46"/>
    <x v="1"/>
    <n v="34.1"/>
    <x v="3"/>
    <x v="1"/>
    <x v="1"/>
    <n v="23563.02"/>
    <x v="1"/>
  </r>
  <r>
    <x v="1"/>
    <x v="1"/>
    <n v="21.5"/>
    <x v="0"/>
    <x v="1"/>
    <x v="3"/>
    <n v="1702.46"/>
    <x v="0"/>
  </r>
  <r>
    <x v="14"/>
    <x v="0"/>
    <n v="33.299999999999997"/>
    <x v="3"/>
    <x v="1"/>
    <x v="0"/>
    <n v="10806.84"/>
    <x v="2"/>
  </r>
  <r>
    <x v="13"/>
    <x v="0"/>
    <n v="31.3"/>
    <x v="1"/>
    <x v="1"/>
    <x v="2"/>
    <n v="3956.07"/>
    <x v="1"/>
  </r>
  <r>
    <x v="1"/>
    <x v="1"/>
    <n v="39.1"/>
    <x v="0"/>
    <x v="1"/>
    <x v="3"/>
    <n v="12890.06"/>
    <x v="0"/>
  </r>
  <r>
    <x v="29"/>
    <x v="1"/>
    <n v="25.1"/>
    <x v="0"/>
    <x v="1"/>
    <x v="1"/>
    <n v="5415.66"/>
    <x v="2"/>
  </r>
  <r>
    <x v="38"/>
    <x v="1"/>
    <n v="37.299999999999997"/>
    <x v="3"/>
    <x v="1"/>
    <x v="1"/>
    <n v="4058.12"/>
    <x v="1"/>
  </r>
  <r>
    <x v="6"/>
    <x v="0"/>
    <n v="34.6"/>
    <x v="1"/>
    <x v="0"/>
    <x v="0"/>
    <n v="41661.599999999999"/>
    <x v="2"/>
  </r>
  <r>
    <x v="25"/>
    <x v="0"/>
    <n v="30.2"/>
    <x v="2"/>
    <x v="1"/>
    <x v="2"/>
    <n v="7537.16"/>
    <x v="1"/>
  </r>
  <r>
    <x v="15"/>
    <x v="0"/>
    <n v="21.9"/>
    <x v="1"/>
    <x v="1"/>
    <x v="3"/>
    <n v="4718.2"/>
    <x v="1"/>
  </r>
  <r>
    <x v="29"/>
    <x v="1"/>
    <n v="25"/>
    <x v="3"/>
    <x v="1"/>
    <x v="1"/>
    <n v="6593.51"/>
    <x v="2"/>
  </r>
  <r>
    <x v="45"/>
    <x v="1"/>
    <n v="25.3"/>
    <x v="0"/>
    <x v="1"/>
    <x v="1"/>
    <n v="8442.67"/>
    <x v="2"/>
  </r>
  <r>
    <x v="34"/>
    <x v="0"/>
    <n v="24.4"/>
    <x v="0"/>
    <x v="0"/>
    <x v="1"/>
    <n v="26125.67"/>
    <x v="1"/>
  </r>
  <r>
    <x v="24"/>
    <x v="1"/>
    <n v="23.9"/>
    <x v="1"/>
    <x v="1"/>
    <x v="3"/>
    <n v="6858.48"/>
    <x v="2"/>
  </r>
  <r>
    <x v="3"/>
    <x v="0"/>
    <n v="39.799999999999997"/>
    <x v="1"/>
    <x v="1"/>
    <x v="1"/>
    <n v="4795.66"/>
    <x v="1"/>
  </r>
  <r>
    <x v="25"/>
    <x v="1"/>
    <n v="16.8"/>
    <x v="3"/>
    <x v="1"/>
    <x v="3"/>
    <n v="6640.54"/>
    <x v="1"/>
  </r>
  <r>
    <x v="44"/>
    <x v="1"/>
    <n v="37.200000000000003"/>
    <x v="3"/>
    <x v="1"/>
    <x v="1"/>
    <n v="7162.01"/>
    <x v="2"/>
  </r>
  <r>
    <x v="12"/>
    <x v="1"/>
    <n v="34.4"/>
    <x v="0"/>
    <x v="1"/>
    <x v="1"/>
    <n v="10594.23"/>
    <x v="2"/>
  </r>
  <r>
    <x v="30"/>
    <x v="1"/>
    <n v="30.3"/>
    <x v="0"/>
    <x v="1"/>
    <x v="3"/>
    <n v="11938.26"/>
    <x v="2"/>
  </r>
  <r>
    <x v="14"/>
    <x v="1"/>
    <n v="34.5"/>
    <x v="2"/>
    <x v="0"/>
    <x v="2"/>
    <n v="60021.4"/>
    <x v="2"/>
  </r>
  <r>
    <x v="34"/>
    <x v="0"/>
    <n v="21.8"/>
    <x v="0"/>
    <x v="0"/>
    <x v="0"/>
    <n v="20167.34"/>
    <x v="1"/>
  </r>
  <r>
    <x v="40"/>
    <x v="0"/>
    <n v="24.6"/>
    <x v="2"/>
    <x v="1"/>
    <x v="2"/>
    <n v="12479.71"/>
    <x v="2"/>
  </r>
  <r>
    <x v="30"/>
    <x v="1"/>
    <n v="23.3"/>
    <x v="0"/>
    <x v="1"/>
    <x v="0"/>
    <n v="11345.52"/>
    <x v="2"/>
  </r>
  <r>
    <x v="39"/>
    <x v="0"/>
    <n v="27.8"/>
    <x v="3"/>
    <x v="1"/>
    <x v="1"/>
    <n v="8515.76"/>
    <x v="2"/>
  </r>
  <r>
    <x v="21"/>
    <x v="1"/>
    <n v="31.1"/>
    <x v="0"/>
    <x v="1"/>
    <x v="2"/>
    <n v="2699.57"/>
    <x v="1"/>
  </r>
  <r>
    <x v="18"/>
    <x v="0"/>
    <n v="21.7"/>
    <x v="0"/>
    <x v="1"/>
    <x v="3"/>
    <n v="14449.85"/>
    <x v="3"/>
  </r>
  <r>
    <x v="30"/>
    <x v="0"/>
    <n v="28.2"/>
    <x v="0"/>
    <x v="1"/>
    <x v="2"/>
    <n v="12224.35"/>
    <x v="2"/>
  </r>
  <r>
    <x v="7"/>
    <x v="1"/>
    <n v="22.7"/>
    <x v="2"/>
    <x v="1"/>
    <x v="3"/>
    <n v="6985.51"/>
    <x v="1"/>
  </r>
  <r>
    <x v="9"/>
    <x v="0"/>
    <n v="42.1"/>
    <x v="1"/>
    <x v="1"/>
    <x v="1"/>
    <n v="3238.44"/>
    <x v="1"/>
  </r>
  <r>
    <x v="14"/>
    <x v="1"/>
    <n v="41.8"/>
    <x v="3"/>
    <x v="0"/>
    <x v="1"/>
    <n v="47269.85"/>
    <x v="2"/>
  </r>
  <r>
    <x v="33"/>
    <x v="1"/>
    <n v="37"/>
    <x v="3"/>
    <x v="0"/>
    <x v="1"/>
    <n v="49577.66"/>
    <x v="3"/>
  </r>
  <r>
    <x v="20"/>
    <x v="0"/>
    <n v="21.3"/>
    <x v="2"/>
    <x v="1"/>
    <x v="2"/>
    <n v="4296.2700000000004"/>
    <x v="1"/>
  </r>
  <r>
    <x v="2"/>
    <x v="0"/>
    <n v="33.1"/>
    <x v="0"/>
    <x v="1"/>
    <x v="1"/>
    <n v="3171.61"/>
    <x v="1"/>
  </r>
  <r>
    <x v="1"/>
    <x v="1"/>
    <n v="33.299999999999997"/>
    <x v="0"/>
    <x v="1"/>
    <x v="1"/>
    <n v="1135.94"/>
    <x v="0"/>
  </r>
  <r>
    <x v="2"/>
    <x v="1"/>
    <n v="24.3"/>
    <x v="4"/>
    <x v="1"/>
    <x v="0"/>
    <n v="5615.37"/>
    <x v="1"/>
  </r>
  <r>
    <x v="39"/>
    <x v="0"/>
    <n v="25.7"/>
    <x v="2"/>
    <x v="1"/>
    <x v="0"/>
    <n v="9101.7999999999993"/>
    <x v="2"/>
  </r>
  <r>
    <x v="3"/>
    <x v="1"/>
    <n v="29.4"/>
    <x v="5"/>
    <x v="1"/>
    <x v="0"/>
    <n v="6059.17"/>
    <x v="1"/>
  </r>
  <r>
    <x v="1"/>
    <x v="0"/>
    <n v="39.799999999999997"/>
    <x v="0"/>
    <x v="1"/>
    <x v="1"/>
    <n v="1633.96"/>
    <x v="0"/>
  </r>
  <r>
    <x v="4"/>
    <x v="1"/>
    <n v="33.6"/>
    <x v="1"/>
    <x v="0"/>
    <x v="3"/>
    <n v="37607.53"/>
    <x v="1"/>
  </r>
  <r>
    <x v="23"/>
    <x v="1"/>
    <n v="29.8"/>
    <x v="0"/>
    <x v="0"/>
    <x v="3"/>
    <n v="18648.419999999998"/>
    <x v="1"/>
  </r>
  <r>
    <x v="0"/>
    <x v="1"/>
    <n v="19.8"/>
    <x v="0"/>
    <x v="1"/>
    <x v="0"/>
    <n v="1241.57"/>
    <x v="0"/>
  </r>
  <r>
    <x v="34"/>
    <x v="1"/>
    <n v="27.3"/>
    <x v="0"/>
    <x v="0"/>
    <x v="0"/>
    <n v="16232.85"/>
    <x v="1"/>
  </r>
  <r>
    <x v="29"/>
    <x v="0"/>
    <n v="29.3"/>
    <x v="5"/>
    <x v="1"/>
    <x v="0"/>
    <n v="15828.82"/>
    <x v="2"/>
  </r>
  <r>
    <x v="16"/>
    <x v="0"/>
    <n v="27.7"/>
    <x v="0"/>
    <x v="1"/>
    <x v="1"/>
    <n v="4415.16"/>
    <x v="1"/>
  </r>
  <r>
    <x v="44"/>
    <x v="0"/>
    <n v="37.9"/>
    <x v="0"/>
    <x v="1"/>
    <x v="0"/>
    <n v="6474.01"/>
    <x v="2"/>
  </r>
  <r>
    <x v="43"/>
    <x v="0"/>
    <n v="36.4"/>
    <x v="2"/>
    <x v="1"/>
    <x v="2"/>
    <n v="11436.74"/>
    <x v="2"/>
  </r>
  <r>
    <x v="40"/>
    <x v="0"/>
    <n v="27.6"/>
    <x v="1"/>
    <x v="1"/>
    <x v="2"/>
    <n v="11305.93"/>
    <x v="2"/>
  </r>
  <r>
    <x v="19"/>
    <x v="1"/>
    <n v="37.700000000000003"/>
    <x v="2"/>
    <x v="1"/>
    <x v="2"/>
    <n v="30063.58"/>
    <x v="2"/>
  </r>
  <r>
    <x v="14"/>
    <x v="0"/>
    <n v="23.2"/>
    <x v="0"/>
    <x v="1"/>
    <x v="3"/>
    <n v="10197.77"/>
    <x v="2"/>
  </r>
  <r>
    <x v="4"/>
    <x v="0"/>
    <n v="20.5"/>
    <x v="0"/>
    <x v="1"/>
    <x v="3"/>
    <n v="4544.2299999999996"/>
    <x v="1"/>
  </r>
  <r>
    <x v="2"/>
    <x v="1"/>
    <n v="37.1"/>
    <x v="1"/>
    <x v="1"/>
    <x v="0"/>
    <n v="3277.16"/>
    <x v="1"/>
  </r>
  <r>
    <x v="24"/>
    <x v="0"/>
    <n v="28.1"/>
    <x v="1"/>
    <x v="1"/>
    <x v="1"/>
    <n v="6770.19"/>
    <x v="2"/>
  </r>
  <r>
    <x v="32"/>
    <x v="0"/>
    <n v="29.9"/>
    <x v="1"/>
    <x v="1"/>
    <x v="0"/>
    <n v="7337.75"/>
    <x v="2"/>
  </r>
  <r>
    <x v="41"/>
    <x v="0"/>
    <n v="33.299999999999997"/>
    <x v="3"/>
    <x v="1"/>
    <x v="3"/>
    <n v="10370.91"/>
    <x v="2"/>
  </r>
  <r>
    <x v="33"/>
    <x v="1"/>
    <n v="23.8"/>
    <x v="0"/>
    <x v="0"/>
    <x v="1"/>
    <n v="26926.51"/>
    <x v="3"/>
  </r>
  <r>
    <x v="19"/>
    <x v="0"/>
    <n v="30.5"/>
    <x v="0"/>
    <x v="1"/>
    <x v="0"/>
    <n v="10704.47"/>
    <x v="2"/>
  </r>
  <r>
    <x v="23"/>
    <x v="1"/>
    <n v="31.1"/>
    <x v="0"/>
    <x v="0"/>
    <x v="3"/>
    <n v="34254.050000000003"/>
    <x v="1"/>
  </r>
  <r>
    <x v="34"/>
    <x v="0"/>
    <n v="33.299999999999997"/>
    <x v="0"/>
    <x v="1"/>
    <x v="0"/>
    <n v="1880.49"/>
    <x v="1"/>
  </r>
  <r>
    <x v="39"/>
    <x v="1"/>
    <n v="27.5"/>
    <x v="2"/>
    <x v="1"/>
    <x v="0"/>
    <n v="8615.2999999999993"/>
    <x v="2"/>
  </r>
  <r>
    <x v="21"/>
    <x v="1"/>
    <n v="33.9"/>
    <x v="1"/>
    <x v="1"/>
    <x v="2"/>
    <n v="3292.53"/>
    <x v="1"/>
  </r>
  <r>
    <x v="9"/>
    <x v="0"/>
    <n v="34.5"/>
    <x v="0"/>
    <x v="1"/>
    <x v="2"/>
    <n v="3021.81"/>
    <x v="1"/>
  </r>
  <r>
    <x v="32"/>
    <x v="1"/>
    <n v="25.5"/>
    <x v="4"/>
    <x v="1"/>
    <x v="1"/>
    <n v="14478.33"/>
    <x v="2"/>
  </r>
  <r>
    <x v="22"/>
    <x v="1"/>
    <n v="27.6"/>
    <x v="1"/>
    <x v="1"/>
    <x v="1"/>
    <n v="4747.05"/>
    <x v="1"/>
  </r>
  <r>
    <x v="21"/>
    <x v="1"/>
    <n v="27.1"/>
    <x v="0"/>
    <x v="0"/>
    <x v="1"/>
    <n v="17043.34"/>
    <x v="1"/>
  </r>
  <r>
    <x v="37"/>
    <x v="1"/>
    <n v="23.7"/>
    <x v="0"/>
    <x v="1"/>
    <x v="0"/>
    <n v="10959.33"/>
    <x v="2"/>
  </r>
  <r>
    <x v="20"/>
    <x v="0"/>
    <n v="30.4"/>
    <x v="0"/>
    <x v="1"/>
    <x v="3"/>
    <n v="2741.95"/>
    <x v="1"/>
  </r>
  <r>
    <x v="4"/>
    <x v="0"/>
    <n v="29.7"/>
    <x v="0"/>
    <x v="1"/>
    <x v="2"/>
    <n v="4357.04"/>
    <x v="1"/>
  </r>
  <r>
    <x v="46"/>
    <x v="1"/>
    <n v="29.9"/>
    <x v="1"/>
    <x v="0"/>
    <x v="3"/>
    <n v="22462.04"/>
    <x v="1"/>
  </r>
  <r>
    <x v="9"/>
    <x v="0"/>
    <n v="26.8"/>
    <x v="3"/>
    <x v="1"/>
    <x v="2"/>
    <n v="4189.1099999999997"/>
    <x v="1"/>
  </r>
  <r>
    <x v="28"/>
    <x v="0"/>
    <n v="33.299999999999997"/>
    <x v="0"/>
    <x v="1"/>
    <x v="1"/>
    <n v="8283.68"/>
    <x v="2"/>
  </r>
  <r>
    <x v="42"/>
    <x v="0"/>
    <n v="27.6"/>
    <x v="3"/>
    <x v="0"/>
    <x v="2"/>
    <n v="24535.7"/>
    <x v="2"/>
  </r>
  <r>
    <x v="1"/>
    <x v="0"/>
    <n v="21.7"/>
    <x v="0"/>
    <x v="0"/>
    <x v="3"/>
    <n v="14283.46"/>
    <x v="0"/>
  </r>
  <r>
    <x v="1"/>
    <x v="1"/>
    <n v="30"/>
    <x v="1"/>
    <x v="1"/>
    <x v="1"/>
    <n v="1720.35"/>
    <x v="0"/>
  </r>
  <r>
    <x v="35"/>
    <x v="1"/>
    <n v="36.299999999999997"/>
    <x v="1"/>
    <x v="0"/>
    <x v="0"/>
    <n v="47403.88"/>
    <x v="3"/>
  </r>
  <r>
    <x v="42"/>
    <x v="0"/>
    <n v="24.3"/>
    <x v="0"/>
    <x v="1"/>
    <x v="3"/>
    <n v="8534.67"/>
    <x v="2"/>
  </r>
  <r>
    <x v="2"/>
    <x v="0"/>
    <n v="17.3"/>
    <x v="0"/>
    <x v="1"/>
    <x v="3"/>
    <n v="3732.63"/>
    <x v="1"/>
  </r>
  <r>
    <x v="26"/>
    <x v="0"/>
    <n v="25.9"/>
    <x v="1"/>
    <x v="1"/>
    <x v="0"/>
    <n v="5472.45"/>
    <x v="1"/>
  </r>
  <r>
    <x v="34"/>
    <x v="1"/>
    <n v="39.4"/>
    <x v="3"/>
    <x v="0"/>
    <x v="0"/>
    <n v="38344.57"/>
    <x v="1"/>
  </r>
  <r>
    <x v="36"/>
    <x v="1"/>
    <n v="34.299999999999997"/>
    <x v="1"/>
    <x v="1"/>
    <x v="1"/>
    <n v="7147.47"/>
    <x v="2"/>
  </r>
  <r>
    <x v="25"/>
    <x v="0"/>
    <n v="20"/>
    <x v="3"/>
    <x v="1"/>
    <x v="3"/>
    <n v="7133.9"/>
    <x v="1"/>
  </r>
  <r>
    <x v="0"/>
    <x v="1"/>
    <n v="34.9"/>
    <x v="0"/>
    <x v="0"/>
    <x v="0"/>
    <n v="34828.65"/>
    <x v="0"/>
  </r>
  <r>
    <x v="27"/>
    <x v="1"/>
    <n v="23.2"/>
    <x v="0"/>
    <x v="1"/>
    <x v="1"/>
    <n v="1515.34"/>
    <x v="1"/>
  </r>
  <r>
    <x v="6"/>
    <x v="1"/>
    <n v="25.7"/>
    <x v="2"/>
    <x v="1"/>
    <x v="2"/>
    <n v="9301.89"/>
    <x v="2"/>
  </r>
  <r>
    <x v="30"/>
    <x v="1"/>
    <n v="25.2"/>
    <x v="0"/>
    <x v="1"/>
    <x v="3"/>
    <n v="11931.13"/>
    <x v="2"/>
  </r>
  <r>
    <x v="34"/>
    <x v="1"/>
    <n v="22"/>
    <x v="1"/>
    <x v="1"/>
    <x v="0"/>
    <n v="1964.78"/>
    <x v="1"/>
  </r>
  <r>
    <x v="1"/>
    <x v="1"/>
    <n v="26.1"/>
    <x v="0"/>
    <x v="1"/>
    <x v="3"/>
    <n v="1708.93"/>
    <x v="0"/>
  </r>
  <r>
    <x v="2"/>
    <x v="0"/>
    <n v="26.5"/>
    <x v="3"/>
    <x v="1"/>
    <x v="1"/>
    <n v="4340.4399999999996"/>
    <x v="1"/>
  </r>
  <r>
    <x v="3"/>
    <x v="1"/>
    <n v="27.5"/>
    <x v="3"/>
    <x v="1"/>
    <x v="2"/>
    <n v="5261.47"/>
    <x v="1"/>
  </r>
  <r>
    <x v="0"/>
    <x v="0"/>
    <n v="25.7"/>
    <x v="1"/>
    <x v="1"/>
    <x v="2"/>
    <n v="2710.83"/>
    <x v="0"/>
  </r>
  <r>
    <x v="39"/>
    <x v="1"/>
    <n v="30.4"/>
    <x v="0"/>
    <x v="0"/>
    <x v="1"/>
    <n v="62592.87"/>
    <x v="2"/>
  </r>
  <r>
    <x v="10"/>
    <x v="1"/>
    <n v="30.9"/>
    <x v="2"/>
    <x v="0"/>
    <x v="2"/>
    <n v="46718.16"/>
    <x v="3"/>
  </r>
  <r>
    <x v="9"/>
    <x v="0"/>
    <n v="20.8"/>
    <x v="1"/>
    <x v="1"/>
    <x v="0"/>
    <n v="3208.79"/>
    <x v="1"/>
  </r>
  <r>
    <x v="32"/>
    <x v="1"/>
    <n v="27.8"/>
    <x v="0"/>
    <x v="0"/>
    <x v="0"/>
    <n v="37829.72"/>
    <x v="2"/>
  </r>
  <r>
    <x v="44"/>
    <x v="1"/>
    <n v="24.6"/>
    <x v="3"/>
    <x v="0"/>
    <x v="3"/>
    <n v="21259.38"/>
    <x v="2"/>
  </r>
  <r>
    <x v="23"/>
    <x v="0"/>
    <n v="27.7"/>
    <x v="0"/>
    <x v="1"/>
    <x v="1"/>
    <n v="2464.62"/>
    <x v="1"/>
  </r>
  <r>
    <x v="38"/>
    <x v="0"/>
    <n v="21.9"/>
    <x v="0"/>
    <x v="0"/>
    <x v="3"/>
    <n v="16115.3"/>
    <x v="1"/>
  </r>
  <r>
    <x v="4"/>
    <x v="1"/>
    <n v="28.1"/>
    <x v="5"/>
    <x v="0"/>
    <x v="2"/>
    <n v="21472.48"/>
    <x v="1"/>
  </r>
  <r>
    <x v="9"/>
    <x v="0"/>
    <n v="30.2"/>
    <x v="0"/>
    <x v="0"/>
    <x v="0"/>
    <n v="33900.65"/>
    <x v="1"/>
  </r>
  <r>
    <x v="24"/>
    <x v="1"/>
    <n v="32.200000000000003"/>
    <x v="3"/>
    <x v="1"/>
    <x v="0"/>
    <n v="6875.96"/>
    <x v="2"/>
  </r>
  <r>
    <x v="44"/>
    <x v="1"/>
    <n v="26.3"/>
    <x v="1"/>
    <x v="1"/>
    <x v="2"/>
    <n v="6940.91"/>
    <x v="2"/>
  </r>
  <r>
    <x v="3"/>
    <x v="0"/>
    <n v="26.7"/>
    <x v="0"/>
    <x v="1"/>
    <x v="2"/>
    <n v="4571.41"/>
    <x v="1"/>
  </r>
  <r>
    <x v="16"/>
    <x v="1"/>
    <n v="42.9"/>
    <x v="1"/>
    <x v="1"/>
    <x v="0"/>
    <n v="4536.26"/>
    <x v="1"/>
  </r>
  <r>
    <x v="0"/>
    <x v="0"/>
    <n v="34.700000000000003"/>
    <x v="3"/>
    <x v="0"/>
    <x v="0"/>
    <n v="36397.58"/>
    <x v="0"/>
  </r>
  <r>
    <x v="15"/>
    <x v="0"/>
    <n v="23.7"/>
    <x v="2"/>
    <x v="0"/>
    <x v="2"/>
    <n v="18765.88"/>
    <x v="1"/>
  </r>
  <r>
    <x v="1"/>
    <x v="1"/>
    <n v="28.3"/>
    <x v="1"/>
    <x v="1"/>
    <x v="3"/>
    <n v="11272.33"/>
    <x v="0"/>
  </r>
  <r>
    <x v="0"/>
    <x v="0"/>
    <n v="20.6"/>
    <x v="0"/>
    <x v="1"/>
    <x v="0"/>
    <n v="1731.68"/>
    <x v="0"/>
  </r>
  <r>
    <x v="1"/>
    <x v="1"/>
    <n v="53.1"/>
    <x v="0"/>
    <x v="1"/>
    <x v="1"/>
    <n v="1163.46"/>
    <x v="0"/>
  </r>
  <r>
    <x v="22"/>
    <x v="1"/>
    <n v="39.700000000000003"/>
    <x v="5"/>
    <x v="1"/>
    <x v="3"/>
    <n v="19496.72"/>
    <x v="1"/>
  </r>
  <r>
    <x v="46"/>
    <x v="0"/>
    <n v="26.3"/>
    <x v="3"/>
    <x v="1"/>
    <x v="2"/>
    <n v="7201.7"/>
    <x v="1"/>
  </r>
  <r>
    <x v="5"/>
    <x v="1"/>
    <n v="31.1"/>
    <x v="2"/>
    <x v="1"/>
    <x v="2"/>
    <n v="5425.02"/>
    <x v="1"/>
  </r>
  <r>
    <x v="10"/>
    <x v="1"/>
    <n v="26.7"/>
    <x v="0"/>
    <x v="0"/>
    <x v="3"/>
    <n v="28101.33"/>
    <x v="3"/>
  </r>
  <r>
    <x v="10"/>
    <x v="1"/>
    <n v="38.799999999999997"/>
    <x v="0"/>
    <x v="1"/>
    <x v="1"/>
    <n v="12981.35"/>
    <x v="3"/>
  </r>
  <r>
    <x v="44"/>
    <x v="0"/>
    <n v="40.4"/>
    <x v="3"/>
    <x v="0"/>
    <x v="1"/>
    <n v="43896.38"/>
    <x v="2"/>
  </r>
  <r>
    <x v="5"/>
    <x v="1"/>
    <n v="25.9"/>
    <x v="1"/>
    <x v="1"/>
    <x v="2"/>
    <n v="4239.8900000000003"/>
    <x v="1"/>
  </r>
  <r>
    <x v="35"/>
    <x v="1"/>
    <n v="33.5"/>
    <x v="0"/>
    <x v="1"/>
    <x v="3"/>
    <n v="13143.34"/>
    <x v="3"/>
  </r>
  <r>
    <x v="44"/>
    <x v="0"/>
    <n v="32.9"/>
    <x v="0"/>
    <x v="1"/>
    <x v="3"/>
    <n v="7050.02"/>
    <x v="2"/>
  </r>
  <r>
    <x v="43"/>
    <x v="1"/>
    <n v="30"/>
    <x v="1"/>
    <x v="1"/>
    <x v="1"/>
    <n v="9377.9"/>
    <x v="2"/>
  </r>
  <r>
    <x v="11"/>
    <x v="0"/>
    <n v="24.2"/>
    <x v="3"/>
    <x v="1"/>
    <x v="3"/>
    <n v="22395.74"/>
    <x v="1"/>
  </r>
  <r>
    <x v="14"/>
    <x v="1"/>
    <n v="38.6"/>
    <x v="3"/>
    <x v="1"/>
    <x v="0"/>
    <n v="10325.209999999999"/>
    <x v="2"/>
  </r>
  <r>
    <x v="37"/>
    <x v="0"/>
    <n v="25.7"/>
    <x v="3"/>
    <x v="1"/>
    <x v="1"/>
    <n v="12629.17"/>
    <x v="2"/>
  </r>
  <r>
    <x v="11"/>
    <x v="0"/>
    <n v="33.4"/>
    <x v="0"/>
    <x v="1"/>
    <x v="0"/>
    <n v="10795.94"/>
    <x v="1"/>
  </r>
  <r>
    <x v="14"/>
    <x v="0"/>
    <n v="44.7"/>
    <x v="2"/>
    <x v="1"/>
    <x v="0"/>
    <n v="11411.69"/>
    <x v="2"/>
  </r>
  <r>
    <x v="45"/>
    <x v="1"/>
    <n v="31"/>
    <x v="2"/>
    <x v="1"/>
    <x v="2"/>
    <n v="10600.55"/>
    <x v="2"/>
  </r>
  <r>
    <x v="1"/>
    <x v="0"/>
    <n v="31.9"/>
    <x v="0"/>
    <x v="1"/>
    <x v="3"/>
    <n v="2205.98"/>
    <x v="0"/>
  </r>
  <r>
    <x v="1"/>
    <x v="0"/>
    <n v="36.9"/>
    <x v="0"/>
    <x v="1"/>
    <x v="1"/>
    <n v="1629.83"/>
    <x v="0"/>
  </r>
  <r>
    <x v="27"/>
    <x v="0"/>
    <n v="25.8"/>
    <x v="0"/>
    <x v="1"/>
    <x v="0"/>
    <n v="2007.95"/>
    <x v="1"/>
  </r>
  <r>
    <x v="35"/>
    <x v="0"/>
    <n v="29.1"/>
    <x v="0"/>
    <x v="0"/>
    <x v="2"/>
    <n v="29141.36000000000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E28409-E049-40DF-81CD-94E6E836FC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6" firstHeaderRow="1" firstDataRow="1" firstDataCol="1"/>
  <pivotFields count="8">
    <pivotField numFmtId="1"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axis="axisRow" showAll="0">
      <items count="3">
        <item x="0"/>
        <item x="1"/>
        <item t="default"/>
      </items>
    </pivotField>
    <pivotField numFmtId="164" showAll="0"/>
    <pivotField numFmtId="1" showAll="0">
      <items count="7">
        <item x="0"/>
        <item x="1"/>
        <item x="3"/>
        <item x="2"/>
        <item x="5"/>
        <item x="4"/>
        <item t="default"/>
      </items>
    </pivotField>
    <pivotField showAll="0">
      <items count="3">
        <item x="1"/>
        <item x="0"/>
        <item t="default"/>
      </items>
    </pivotField>
    <pivotField showAll="0"/>
    <pivotField dataField="1" numFmtId="165" showAll="0"/>
    <pivotField showAll="0"/>
  </pivotFields>
  <rowFields count="1">
    <field x="1"/>
  </rowFields>
  <rowItems count="3">
    <i>
      <x/>
    </i>
    <i>
      <x v="1"/>
    </i>
    <i t="grand">
      <x/>
    </i>
  </rowItems>
  <colItems count="1">
    <i/>
  </colItems>
  <dataFields count="1">
    <dataField name="Sum of Expenses" fld="6" baseField="0" baseItem="0" numFmtId="165"/>
  </dataFields>
  <chartFormats count="3">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 count="1" selected="0">
            <x v="0"/>
          </reference>
        </references>
      </pivotArea>
    </chartFormat>
    <chartFormat chart="6" format="1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D95D22-1B92-496B-8CF8-9DFBE576D5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6" firstHeaderRow="1" firstDataRow="1" firstDataCol="1"/>
  <pivotFields count="8">
    <pivotField numFmtId="1"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showAll="0"/>
    <pivotField numFmtId="164" showAll="0"/>
    <pivotField numFmtId="1" showAll="0">
      <items count="7">
        <item x="0"/>
        <item x="1"/>
        <item x="3"/>
        <item x="2"/>
        <item x="5"/>
        <item x="4"/>
        <item t="default"/>
      </items>
    </pivotField>
    <pivotField axis="axisRow" showAll="0">
      <items count="3">
        <item x="1"/>
        <item x="0"/>
        <item t="default"/>
      </items>
    </pivotField>
    <pivotField showAll="0"/>
    <pivotField dataField="1" numFmtId="165" showAll="0"/>
    <pivotField showAll="0"/>
  </pivotFields>
  <rowFields count="1">
    <field x="4"/>
  </rowFields>
  <rowItems count="3">
    <i>
      <x/>
    </i>
    <i>
      <x v="1"/>
    </i>
    <i t="grand">
      <x/>
    </i>
  </rowItems>
  <colItems count="1">
    <i/>
  </colItems>
  <dataFields count="1">
    <dataField name="Sum of Expenses" fld="6" baseField="0" baseItem="0" numFmtId="165"/>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B2FCA7-9E08-4457-BE4C-B9A90DC36D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B8" firstHeaderRow="1" firstDataRow="1" firstDataCol="1"/>
  <pivotFields count="8">
    <pivotField numFmtId="1"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showAll="0"/>
    <pivotField numFmtId="164" showAll="0"/>
    <pivotField numFmtId="1" showAll="0">
      <items count="7">
        <item x="0"/>
        <item x="1"/>
        <item x="3"/>
        <item x="2"/>
        <item x="5"/>
        <item x="4"/>
        <item t="default"/>
      </items>
    </pivotField>
    <pivotField showAll="0">
      <items count="3">
        <item x="1"/>
        <item x="0"/>
        <item t="default"/>
      </items>
    </pivotField>
    <pivotField showAll="0"/>
    <pivotField dataField="1" numFmtId="165" showAll="0"/>
    <pivotField axis="axisRow" showAll="0">
      <items count="5">
        <item x="3"/>
        <item x="2"/>
        <item x="0"/>
        <item x="1"/>
        <item t="default"/>
      </items>
    </pivotField>
  </pivotFields>
  <rowFields count="1">
    <field x="7"/>
  </rowFields>
  <rowItems count="5">
    <i>
      <x/>
    </i>
    <i>
      <x v="1"/>
    </i>
    <i>
      <x v="2"/>
    </i>
    <i>
      <x v="3"/>
    </i>
    <i t="grand">
      <x/>
    </i>
  </rowItems>
  <colItems count="1">
    <i/>
  </colItems>
  <dataFields count="1">
    <dataField name="Sum of Expenses" fld="6" baseField="0" baseItem="0" numFmtId="165"/>
  </dataFields>
  <chartFormats count="5">
    <chartFormat chart="15" format="20" series="1">
      <pivotArea type="data" outline="0" fieldPosition="0">
        <references count="1">
          <reference field="4294967294" count="1" selected="0">
            <x v="0"/>
          </reference>
        </references>
      </pivotArea>
    </chartFormat>
    <chartFormat chart="15" format="21">
      <pivotArea type="data" outline="0" fieldPosition="0">
        <references count="2">
          <reference field="4294967294" count="1" selected="0">
            <x v="0"/>
          </reference>
          <reference field="7" count="1" selected="0">
            <x v="0"/>
          </reference>
        </references>
      </pivotArea>
    </chartFormat>
    <chartFormat chart="15" format="22">
      <pivotArea type="data" outline="0" fieldPosition="0">
        <references count="2">
          <reference field="4294967294" count="1" selected="0">
            <x v="0"/>
          </reference>
          <reference field="7" count="1" selected="0">
            <x v="1"/>
          </reference>
        </references>
      </pivotArea>
    </chartFormat>
    <chartFormat chart="15" format="23">
      <pivotArea type="data" outline="0" fieldPosition="0">
        <references count="2">
          <reference field="4294967294" count="1" selected="0">
            <x v="0"/>
          </reference>
          <reference field="7" count="1" selected="0">
            <x v="2"/>
          </reference>
        </references>
      </pivotArea>
    </chartFormat>
    <chartFormat chart="15" format="2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13D12F-7762-4E24-89D1-F329AFDF70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3:B8" firstHeaderRow="1" firstDataRow="1" firstDataCol="1"/>
  <pivotFields count="8">
    <pivotField numFmtId="1"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showAll="0"/>
    <pivotField numFmtId="164" showAll="0"/>
    <pivotField numFmtId="1" showAll="0">
      <items count="7">
        <item x="0"/>
        <item x="1"/>
        <item x="3"/>
        <item x="2"/>
        <item x="5"/>
        <item x="4"/>
        <item t="default"/>
      </items>
    </pivotField>
    <pivotField showAll="0">
      <items count="3">
        <item x="1"/>
        <item x="0"/>
        <item t="default"/>
      </items>
    </pivotField>
    <pivotField axis="axisRow" showAll="0">
      <items count="5">
        <item x="3"/>
        <item x="2"/>
        <item x="1"/>
        <item x="0"/>
        <item t="default"/>
      </items>
    </pivotField>
    <pivotField dataField="1" numFmtId="165" showAll="0"/>
    <pivotField showAll="0"/>
  </pivotFields>
  <rowFields count="1">
    <field x="5"/>
  </rowFields>
  <rowItems count="5">
    <i>
      <x/>
    </i>
    <i>
      <x v="1"/>
    </i>
    <i>
      <x v="2"/>
    </i>
    <i>
      <x v="3"/>
    </i>
    <i t="grand">
      <x/>
    </i>
  </rowItems>
  <colItems count="1">
    <i/>
  </colItems>
  <dataFields count="1">
    <dataField name="Sum of Expenses" fld="6" baseField="0" baseItem="0" numFmtId="165"/>
  </dataFields>
  <chartFormats count="5">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pivotArea type="data" outline="0" fieldPosition="0">
        <references count="2">
          <reference field="4294967294" count="1" selected="0">
            <x v="0"/>
          </reference>
          <reference field="5" count="1" selected="0">
            <x v="1"/>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EFE36B5-CCFB-445E-98CC-C8EB1DCD730E}" sourceName="Age">
  <pivotTables>
    <pivotTable tabId="6" name="PivotTable4"/>
    <pivotTable tabId="4" name="PivotTable2"/>
    <pivotTable tabId="2" name="PivotTable1"/>
    <pivotTable tabId="5" name="PivotTable3"/>
  </pivotTables>
  <data>
    <tabular pivotCacheId="1910788103">
      <items count="47">
        <i x="1" s="1"/>
        <i x="0" s="1"/>
        <i x="34" s="1"/>
        <i x="27" s="1"/>
        <i x="20" s="1"/>
        <i x="11" s="1"/>
        <i x="23" s="1"/>
        <i x="9" s="1"/>
        <i x="21" s="1"/>
        <i x="13" s="1"/>
        <i x="2" s="1"/>
        <i x="38" s="1"/>
        <i x="15" s="1"/>
        <i x="5" s="1"/>
        <i x="4" s="1"/>
        <i x="3" s="1"/>
        <i x="16" s="1"/>
        <i x="22" s="1"/>
        <i x="26" s="1"/>
        <i x="7" s="1"/>
        <i x="25" s="1"/>
        <i x="46" s="1"/>
        <i x="29" s="1"/>
        <i x="24" s="1"/>
        <i x="44" s="1"/>
        <i x="32" s="1"/>
        <i x="36" s="1"/>
        <i x="39" s="1"/>
        <i x="6" s="1"/>
        <i x="42" s="1"/>
        <i x="28" s="1"/>
        <i x="41" s="1"/>
        <i x="45" s="1"/>
        <i x="43" s="1"/>
        <i x="14" s="1"/>
        <i x="31" s="1"/>
        <i x="40" s="1"/>
        <i x="19" s="1"/>
        <i x="12" s="1"/>
        <i x="37" s="1"/>
        <i x="30" s="1"/>
        <i x="17" s="1"/>
        <i x="8" s="1"/>
        <i x="35" s="1"/>
        <i x="10" s="1"/>
        <i x="18" s="1"/>
        <i x="3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0C54F178-A399-4D43-A752-5C0CA0C6FBE8}" sourceName="Children">
  <pivotTables>
    <pivotTable tabId="6" name="PivotTable4"/>
    <pivotTable tabId="4" name="PivotTable2"/>
    <pivotTable tabId="2" name="PivotTable1"/>
    <pivotTable tabId="5" name="PivotTable3"/>
  </pivotTables>
  <data>
    <tabular pivotCacheId="1910788103">
      <items count="6">
        <i x="0" s="1"/>
        <i x="1" s="1"/>
        <i x="3" s="1"/>
        <i x="2"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62D94AFA-B8EE-4D17-B223-6FD517221566}" sourceName="Smoker">
  <pivotTables>
    <pivotTable tabId="6" name="PivotTable4"/>
    <pivotTable tabId="4" name="PivotTable2"/>
    <pivotTable tabId="2" name="PivotTable1"/>
    <pivotTable tabId="5" name="PivotTable3"/>
  </pivotTables>
  <data>
    <tabular pivotCacheId="191078810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E55D1B4E-C908-4F48-82F6-DA873343F703}" cache="Slicer_Age" caption="Age" style="SlicerStyleDark1" rowHeight="241300"/>
  <slicer name="Children 1" xr10:uid="{688E0EA6-E6AE-4705-A55D-3ECBBBE1C064}" cache="Slicer_Children" caption="Children" style="SlicerStyleDark1" rowHeight="241300"/>
  <slicer name="Smoker 1" xr10:uid="{A2C239E1-8EA7-4CFE-B195-DB7783E47955}" cache="Slicer_Smoker" caption="Smoker"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E36FFC-84CC-4333-9617-5142FE3F5F36}" name="Table1" displayName="Table1" ref="A1:H1339" totalsRowShown="0" headerRowDxfId="5">
  <autoFilter ref="A1:H1339" xr:uid="{58E36FFC-84CC-4333-9617-5142FE3F5F36}"/>
  <tableColumns count="8">
    <tableColumn id="1" xr3:uid="{4131AD8C-F48C-42B9-87D9-E74BD357D4E5}" name="Age" dataDxfId="4"/>
    <tableColumn id="2" xr3:uid="{C6BDE427-DCBD-4441-BAC8-B65E7793048E}" name="Gender"/>
    <tableColumn id="3" xr3:uid="{008E2270-9E43-4B14-9BE1-77FC4720E2D8}" name="Bmi" dataDxfId="3"/>
    <tableColumn id="4" xr3:uid="{349F935A-7220-4B33-AE33-DC28FA286948}" name="Children" dataDxfId="2"/>
    <tableColumn id="5" xr3:uid="{91566237-9B78-409C-B0EC-21854EEFA87F}" name="Smoker"/>
    <tableColumn id="6" xr3:uid="{7E54FE1B-E8F9-4E5F-8CDB-EFF14445B583}" name="Region"/>
    <tableColumn id="7" xr3:uid="{10EC533B-927B-42D1-A2DA-0F85719F2ACB}" name="Expenses" dataDxfId="1"/>
    <tableColumn id="8" xr3:uid="{6E1305BC-5114-45DD-A693-18C8013B8F41}" name="Age Group" dataDxfId="0">
      <calculatedColumnFormula array="1">_xlfn.IFS(A2&lt;13, "Child", A2&lt;20, "Teenager", A2&lt;40, "Young Adult", A2&lt;60, "Senior Adult", A2&gt;=60, "Elderly")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D0959-61CB-4A3F-A431-AE6D4C2CF42E}">
  <dimension ref="A1:H1339"/>
  <sheetViews>
    <sheetView workbookViewId="0">
      <selection activeCell="I20" sqref="I20"/>
    </sheetView>
  </sheetViews>
  <sheetFormatPr defaultRowHeight="15" x14ac:dyDescent="0.25"/>
  <cols>
    <col min="1" max="1" width="6.85546875" customWidth="1"/>
    <col min="2" max="2" width="10.28515625" customWidth="1"/>
    <col min="3" max="3" width="6.85546875" customWidth="1"/>
    <col min="4" max="4" width="11.28515625" customWidth="1"/>
    <col min="5" max="5" width="10.5703125" customWidth="1"/>
    <col min="6" max="6" width="10.42578125" bestFit="1" customWidth="1"/>
    <col min="7" max="7" width="11.85546875" customWidth="1"/>
    <col min="8" max="8" width="13.7109375" bestFit="1" customWidth="1"/>
  </cols>
  <sheetData>
    <row r="1" spans="1:8" ht="15.75" x14ac:dyDescent="0.25">
      <c r="A1" s="4" t="s">
        <v>0</v>
      </c>
      <c r="B1" s="4" t="s">
        <v>1</v>
      </c>
      <c r="C1" s="4" t="s">
        <v>2</v>
      </c>
      <c r="D1" s="4" t="s">
        <v>3</v>
      </c>
      <c r="E1" s="4" t="s">
        <v>4</v>
      </c>
      <c r="F1" s="4" t="s">
        <v>5</v>
      </c>
      <c r="G1" s="4" t="s">
        <v>6</v>
      </c>
      <c r="H1" s="4" t="s">
        <v>15</v>
      </c>
    </row>
    <row r="2" spans="1:8" x14ac:dyDescent="0.25">
      <c r="A2" s="1">
        <v>19</v>
      </c>
      <c r="B2" t="s">
        <v>7</v>
      </c>
      <c r="C2" s="2">
        <v>27.9</v>
      </c>
      <c r="D2" s="1">
        <v>0</v>
      </c>
      <c r="E2" t="s">
        <v>9</v>
      </c>
      <c r="F2" t="s">
        <v>11</v>
      </c>
      <c r="G2" s="3">
        <v>16884.919999999998</v>
      </c>
      <c r="H2" t="str" cm="1">
        <f t="array" ref="H2">_xlfn.IFS(A2&lt;13, "Child", A2&lt;20, "Teenager", A2&lt;40, "Young Adult", A2&lt;60, "Senior Adult", A2&gt;=60, "Elderly")</f>
        <v>Teenager</v>
      </c>
    </row>
    <row r="3" spans="1:8" x14ac:dyDescent="0.25">
      <c r="A3" s="1">
        <v>18</v>
      </c>
      <c r="B3" t="s">
        <v>8</v>
      </c>
      <c r="C3" s="2">
        <v>33.799999999999997</v>
      </c>
      <c r="D3" s="1">
        <v>1</v>
      </c>
      <c r="E3" t="s">
        <v>10</v>
      </c>
      <c r="F3" t="s">
        <v>12</v>
      </c>
      <c r="G3" s="3">
        <v>1725.55</v>
      </c>
      <c r="H3" t="str" cm="1">
        <f t="array" ref="H3">_xlfn.IFS(A3&lt;13, "Child", A3&lt;20, "Teenager", A3&lt;40, "Young Adult", A3&lt;60, "Senior Adult", A3&gt;=60, "Elderly")</f>
        <v>Teenager</v>
      </c>
    </row>
    <row r="4" spans="1:8" x14ac:dyDescent="0.25">
      <c r="A4" s="1">
        <v>28</v>
      </c>
      <c r="B4" t="s">
        <v>8</v>
      </c>
      <c r="C4" s="2">
        <v>33</v>
      </c>
      <c r="D4" s="1">
        <v>3</v>
      </c>
      <c r="E4" t="s">
        <v>10</v>
      </c>
      <c r="F4" t="s">
        <v>12</v>
      </c>
      <c r="G4" s="3">
        <v>4449.46</v>
      </c>
      <c r="H4" t="str" cm="1">
        <f t="array" ref="H4">_xlfn.IFS(A4&lt;13, "Child", A4&lt;20, "Teenager", A4&lt;40, "Young Adult", A4&lt;60, "Senior Adult", A4&gt;=60, "Elderly")</f>
        <v>Young Adult</v>
      </c>
    </row>
    <row r="5" spans="1:8" x14ac:dyDescent="0.25">
      <c r="A5" s="1">
        <v>33</v>
      </c>
      <c r="B5" t="s">
        <v>8</v>
      </c>
      <c r="C5" s="2">
        <v>22.7</v>
      </c>
      <c r="D5" s="1">
        <v>0</v>
      </c>
      <c r="E5" t="s">
        <v>10</v>
      </c>
      <c r="F5" t="s">
        <v>13</v>
      </c>
      <c r="G5" s="3">
        <v>21984.47</v>
      </c>
      <c r="H5" t="str" cm="1">
        <f t="array" ref="H5">_xlfn.IFS(A5&lt;13, "Child", A5&lt;20, "Teenager", A5&lt;40, "Young Adult", A5&lt;60, "Senior Adult", A5&gt;=60, "Elderly")</f>
        <v>Young Adult</v>
      </c>
    </row>
    <row r="6" spans="1:8" x14ac:dyDescent="0.25">
      <c r="A6" s="1">
        <v>32</v>
      </c>
      <c r="B6" t="s">
        <v>8</v>
      </c>
      <c r="C6" s="2">
        <v>28.9</v>
      </c>
      <c r="D6" s="1">
        <v>0</v>
      </c>
      <c r="E6" t="s">
        <v>10</v>
      </c>
      <c r="F6" t="s">
        <v>13</v>
      </c>
      <c r="G6" s="3">
        <v>3866.86</v>
      </c>
      <c r="H6" t="str" cm="1">
        <f t="array" ref="H6">_xlfn.IFS(A6&lt;13, "Child", A6&lt;20, "Teenager", A6&lt;40, "Young Adult", A6&lt;60, "Senior Adult", A6&gt;=60, "Elderly")</f>
        <v>Young Adult</v>
      </c>
    </row>
    <row r="7" spans="1:8" x14ac:dyDescent="0.25">
      <c r="A7" s="1">
        <v>31</v>
      </c>
      <c r="B7" t="s">
        <v>7</v>
      </c>
      <c r="C7" s="2">
        <v>25.7</v>
      </c>
      <c r="D7" s="1">
        <v>0</v>
      </c>
      <c r="E7" t="s">
        <v>10</v>
      </c>
      <c r="F7" t="s">
        <v>12</v>
      </c>
      <c r="G7" s="3">
        <v>3756.62</v>
      </c>
      <c r="H7" t="str" cm="1">
        <f t="array" ref="H7">_xlfn.IFS(A7&lt;13, "Child", A7&lt;20, "Teenager", A7&lt;40, "Young Adult", A7&lt;60, "Senior Adult", A7&gt;=60, "Elderly")</f>
        <v>Young Adult</v>
      </c>
    </row>
    <row r="8" spans="1:8" x14ac:dyDescent="0.25">
      <c r="A8" s="1">
        <v>46</v>
      </c>
      <c r="B8" t="s">
        <v>7</v>
      </c>
      <c r="C8" s="2">
        <v>33.4</v>
      </c>
      <c r="D8" s="1">
        <v>1</v>
      </c>
      <c r="E8" t="s">
        <v>10</v>
      </c>
      <c r="F8" t="s">
        <v>12</v>
      </c>
      <c r="G8" s="3">
        <v>8240.59</v>
      </c>
      <c r="H8" t="str" cm="1">
        <f t="array" ref="H8">_xlfn.IFS(A8&lt;13, "Child", A8&lt;20, "Teenager", A8&lt;40, "Young Adult", A8&lt;60, "Senior Adult", A8&gt;=60, "Elderly")</f>
        <v>Senior Adult</v>
      </c>
    </row>
    <row r="9" spans="1:8" x14ac:dyDescent="0.25">
      <c r="A9" s="1">
        <v>37</v>
      </c>
      <c r="B9" t="s">
        <v>7</v>
      </c>
      <c r="C9" s="2">
        <v>27.7</v>
      </c>
      <c r="D9" s="1">
        <v>3</v>
      </c>
      <c r="E9" t="s">
        <v>10</v>
      </c>
      <c r="F9" t="s">
        <v>13</v>
      </c>
      <c r="G9" s="3">
        <v>7281.51</v>
      </c>
      <c r="H9" t="str" cm="1">
        <f t="array" ref="H9">_xlfn.IFS(A9&lt;13, "Child", A9&lt;20, "Teenager", A9&lt;40, "Young Adult", A9&lt;60, "Senior Adult", A9&gt;=60, "Elderly")</f>
        <v>Young Adult</v>
      </c>
    </row>
    <row r="10" spans="1:8" x14ac:dyDescent="0.25">
      <c r="A10" s="1">
        <v>37</v>
      </c>
      <c r="B10" t="s">
        <v>8</v>
      </c>
      <c r="C10" s="2">
        <v>29.8</v>
      </c>
      <c r="D10" s="1">
        <v>2</v>
      </c>
      <c r="E10" t="s">
        <v>10</v>
      </c>
      <c r="F10" t="s">
        <v>14</v>
      </c>
      <c r="G10" s="3">
        <v>6406.41</v>
      </c>
      <c r="H10" t="str" cm="1">
        <f t="array" ref="H10">_xlfn.IFS(A10&lt;13, "Child", A10&lt;20, "Teenager", A10&lt;40, "Young Adult", A10&lt;60, "Senior Adult", A10&gt;=60, "Elderly")</f>
        <v>Young Adult</v>
      </c>
    </row>
    <row r="11" spans="1:8" x14ac:dyDescent="0.25">
      <c r="A11" s="1">
        <v>60</v>
      </c>
      <c r="B11" t="s">
        <v>7</v>
      </c>
      <c r="C11" s="2">
        <v>25.8</v>
      </c>
      <c r="D11" s="1">
        <v>0</v>
      </c>
      <c r="E11" t="s">
        <v>10</v>
      </c>
      <c r="F11" t="s">
        <v>13</v>
      </c>
      <c r="G11" s="3">
        <v>28923.14</v>
      </c>
      <c r="H11" t="str" cm="1">
        <f t="array" ref="H11">_xlfn.IFS(A11&lt;13, "Child", A11&lt;20, "Teenager", A11&lt;40, "Young Adult", A11&lt;60, "Senior Adult", A11&gt;=60, "Elderly")</f>
        <v>Elderly</v>
      </c>
    </row>
    <row r="12" spans="1:8" x14ac:dyDescent="0.25">
      <c r="A12" s="1">
        <v>25</v>
      </c>
      <c r="B12" t="s">
        <v>8</v>
      </c>
      <c r="C12" s="2">
        <v>26.2</v>
      </c>
      <c r="D12" s="1">
        <v>0</v>
      </c>
      <c r="E12" t="s">
        <v>10</v>
      </c>
      <c r="F12" t="s">
        <v>14</v>
      </c>
      <c r="G12" s="3">
        <v>2721.32</v>
      </c>
      <c r="H12" t="str" cm="1">
        <f t="array" ref="H12">_xlfn.IFS(A12&lt;13, "Child", A12&lt;20, "Teenager", A12&lt;40, "Young Adult", A12&lt;60, "Senior Adult", A12&gt;=60, "Elderly")</f>
        <v>Young Adult</v>
      </c>
    </row>
    <row r="13" spans="1:8" x14ac:dyDescent="0.25">
      <c r="A13" s="1">
        <v>62</v>
      </c>
      <c r="B13" t="s">
        <v>7</v>
      </c>
      <c r="C13" s="2">
        <v>26.3</v>
      </c>
      <c r="D13" s="1">
        <v>0</v>
      </c>
      <c r="E13" t="s">
        <v>9</v>
      </c>
      <c r="F13" t="s">
        <v>12</v>
      </c>
      <c r="G13" s="3">
        <v>27808.73</v>
      </c>
      <c r="H13" t="str" cm="1">
        <f t="array" ref="H13">_xlfn.IFS(A13&lt;13, "Child", A13&lt;20, "Teenager", A13&lt;40, "Young Adult", A13&lt;60, "Senior Adult", A13&gt;=60, "Elderly")</f>
        <v>Elderly</v>
      </c>
    </row>
    <row r="14" spans="1:8" x14ac:dyDescent="0.25">
      <c r="A14" s="1">
        <v>23</v>
      </c>
      <c r="B14" t="s">
        <v>8</v>
      </c>
      <c r="C14" s="2">
        <v>34.4</v>
      </c>
      <c r="D14" s="1">
        <v>0</v>
      </c>
      <c r="E14" t="s">
        <v>10</v>
      </c>
      <c r="F14" t="s">
        <v>11</v>
      </c>
      <c r="G14" s="3">
        <v>1826.84</v>
      </c>
      <c r="H14" t="str" cm="1">
        <f t="array" ref="H14">_xlfn.IFS(A14&lt;13, "Child", A14&lt;20, "Teenager", A14&lt;40, "Young Adult", A14&lt;60, "Senior Adult", A14&gt;=60, "Elderly")</f>
        <v>Young Adult</v>
      </c>
    </row>
    <row r="15" spans="1:8" x14ac:dyDescent="0.25">
      <c r="A15" s="1">
        <v>56</v>
      </c>
      <c r="B15" t="s">
        <v>7</v>
      </c>
      <c r="C15" s="2">
        <v>39.799999999999997</v>
      </c>
      <c r="D15" s="1">
        <v>0</v>
      </c>
      <c r="E15" t="s">
        <v>10</v>
      </c>
      <c r="F15" t="s">
        <v>12</v>
      </c>
      <c r="G15" s="3">
        <v>11090.72</v>
      </c>
      <c r="H15" t="str" cm="1">
        <f t="array" ref="H15">_xlfn.IFS(A15&lt;13, "Child", A15&lt;20, "Teenager", A15&lt;40, "Young Adult", A15&lt;60, "Senior Adult", A15&gt;=60, "Elderly")</f>
        <v>Senior Adult</v>
      </c>
    </row>
    <row r="16" spans="1:8" x14ac:dyDescent="0.25">
      <c r="A16" s="1">
        <v>27</v>
      </c>
      <c r="B16" t="s">
        <v>8</v>
      </c>
      <c r="C16" s="2">
        <v>42.1</v>
      </c>
      <c r="D16" s="1">
        <v>0</v>
      </c>
      <c r="E16" t="s">
        <v>9</v>
      </c>
      <c r="F16" t="s">
        <v>12</v>
      </c>
      <c r="G16" s="3">
        <v>39611.760000000002</v>
      </c>
      <c r="H16" t="str" cm="1">
        <f t="array" ref="H16">_xlfn.IFS(A16&lt;13, "Child", A16&lt;20, "Teenager", A16&lt;40, "Young Adult", A16&lt;60, "Senior Adult", A16&gt;=60, "Elderly")</f>
        <v>Young Adult</v>
      </c>
    </row>
    <row r="17" spans="1:8" x14ac:dyDescent="0.25">
      <c r="A17" s="1">
        <v>19</v>
      </c>
      <c r="B17" t="s">
        <v>8</v>
      </c>
      <c r="C17" s="2">
        <v>24.6</v>
      </c>
      <c r="D17" s="1">
        <v>1</v>
      </c>
      <c r="E17" t="s">
        <v>10</v>
      </c>
      <c r="F17" t="s">
        <v>11</v>
      </c>
      <c r="G17" s="3">
        <v>1837.24</v>
      </c>
      <c r="H17" t="str" cm="1">
        <f t="array" ref="H17">_xlfn.IFS(A17&lt;13, "Child", A17&lt;20, "Teenager", A17&lt;40, "Young Adult", A17&lt;60, "Senior Adult", A17&gt;=60, "Elderly")</f>
        <v>Teenager</v>
      </c>
    </row>
    <row r="18" spans="1:8" x14ac:dyDescent="0.25">
      <c r="A18" s="1">
        <v>52</v>
      </c>
      <c r="B18" t="s">
        <v>7</v>
      </c>
      <c r="C18" s="2">
        <v>30.8</v>
      </c>
      <c r="D18" s="1">
        <v>1</v>
      </c>
      <c r="E18" t="s">
        <v>10</v>
      </c>
      <c r="F18" t="s">
        <v>14</v>
      </c>
      <c r="G18" s="3">
        <v>10797.34</v>
      </c>
      <c r="H18" t="str" cm="1">
        <f t="array" ref="H18">_xlfn.IFS(A18&lt;13, "Child", A18&lt;20, "Teenager", A18&lt;40, "Young Adult", A18&lt;60, "Senior Adult", A18&gt;=60, "Elderly")</f>
        <v>Senior Adult</v>
      </c>
    </row>
    <row r="19" spans="1:8" x14ac:dyDescent="0.25">
      <c r="A19" s="1">
        <v>23</v>
      </c>
      <c r="B19" t="s">
        <v>8</v>
      </c>
      <c r="C19" s="2">
        <v>23.8</v>
      </c>
      <c r="D19" s="1">
        <v>0</v>
      </c>
      <c r="E19" t="s">
        <v>10</v>
      </c>
      <c r="F19" t="s">
        <v>14</v>
      </c>
      <c r="G19" s="3">
        <v>2395.17</v>
      </c>
      <c r="H19" t="str" cm="1">
        <f t="array" ref="H19">_xlfn.IFS(A19&lt;13, "Child", A19&lt;20, "Teenager", A19&lt;40, "Young Adult", A19&lt;60, "Senior Adult", A19&gt;=60, "Elderly")</f>
        <v>Young Adult</v>
      </c>
    </row>
    <row r="20" spans="1:8" x14ac:dyDescent="0.25">
      <c r="A20" s="1">
        <v>56</v>
      </c>
      <c r="B20" t="s">
        <v>8</v>
      </c>
      <c r="C20" s="2">
        <v>40.299999999999997</v>
      </c>
      <c r="D20" s="1">
        <v>0</v>
      </c>
      <c r="E20" t="s">
        <v>10</v>
      </c>
      <c r="F20" t="s">
        <v>11</v>
      </c>
      <c r="G20" s="3">
        <v>10602.39</v>
      </c>
      <c r="H20" t="str" cm="1">
        <f t="array" ref="H20">_xlfn.IFS(A20&lt;13, "Child", A20&lt;20, "Teenager", A20&lt;40, "Young Adult", A20&lt;60, "Senior Adult", A20&gt;=60, "Elderly")</f>
        <v>Senior Adult</v>
      </c>
    </row>
    <row r="21" spans="1:8" x14ac:dyDescent="0.25">
      <c r="A21" s="1">
        <v>30</v>
      </c>
      <c r="B21" t="s">
        <v>8</v>
      </c>
      <c r="C21" s="2">
        <v>35.299999999999997</v>
      </c>
      <c r="D21" s="1">
        <v>0</v>
      </c>
      <c r="E21" t="s">
        <v>9</v>
      </c>
      <c r="F21" t="s">
        <v>11</v>
      </c>
      <c r="G21" s="3">
        <v>36837.47</v>
      </c>
      <c r="H21" t="str" cm="1">
        <f t="array" ref="H21">_xlfn.IFS(A21&lt;13, "Child", A21&lt;20, "Teenager", A21&lt;40, "Young Adult", A21&lt;60, "Senior Adult", A21&gt;=60, "Elderly")</f>
        <v>Young Adult</v>
      </c>
    </row>
    <row r="22" spans="1:8" x14ac:dyDescent="0.25">
      <c r="A22" s="1">
        <v>60</v>
      </c>
      <c r="B22" t="s">
        <v>7</v>
      </c>
      <c r="C22" s="2">
        <v>36</v>
      </c>
      <c r="D22" s="1">
        <v>0</v>
      </c>
      <c r="E22" t="s">
        <v>10</v>
      </c>
      <c r="F22" t="s">
        <v>14</v>
      </c>
      <c r="G22" s="3">
        <v>13228.85</v>
      </c>
      <c r="H22" t="str" cm="1">
        <f t="array" ref="H22">_xlfn.IFS(A22&lt;13, "Child", A22&lt;20, "Teenager", A22&lt;40, "Young Adult", A22&lt;60, "Senior Adult", A22&gt;=60, "Elderly")</f>
        <v>Elderly</v>
      </c>
    </row>
    <row r="23" spans="1:8" x14ac:dyDescent="0.25">
      <c r="A23" s="1">
        <v>30</v>
      </c>
      <c r="B23" t="s">
        <v>7</v>
      </c>
      <c r="C23" s="2">
        <v>32.4</v>
      </c>
      <c r="D23" s="1">
        <v>1</v>
      </c>
      <c r="E23" t="s">
        <v>10</v>
      </c>
      <c r="F23" t="s">
        <v>11</v>
      </c>
      <c r="G23" s="3">
        <v>4149.74</v>
      </c>
      <c r="H23" t="str" cm="1">
        <f t="array" ref="H23">_xlfn.IFS(A23&lt;13, "Child", A23&lt;20, "Teenager", A23&lt;40, "Young Adult", A23&lt;60, "Senior Adult", A23&gt;=60, "Elderly")</f>
        <v>Young Adult</v>
      </c>
    </row>
    <row r="24" spans="1:8" x14ac:dyDescent="0.25">
      <c r="A24" s="1">
        <v>18</v>
      </c>
      <c r="B24" t="s">
        <v>8</v>
      </c>
      <c r="C24" s="2">
        <v>34.1</v>
      </c>
      <c r="D24" s="1">
        <v>0</v>
      </c>
      <c r="E24" t="s">
        <v>10</v>
      </c>
      <c r="F24" t="s">
        <v>12</v>
      </c>
      <c r="G24" s="3">
        <v>1137.01</v>
      </c>
      <c r="H24" t="str" cm="1">
        <f t="array" ref="H24">_xlfn.IFS(A24&lt;13, "Child", A24&lt;20, "Teenager", A24&lt;40, "Young Adult", A24&lt;60, "Senior Adult", A24&gt;=60, "Elderly")</f>
        <v>Teenager</v>
      </c>
    </row>
    <row r="25" spans="1:8" x14ac:dyDescent="0.25">
      <c r="A25" s="1">
        <v>34</v>
      </c>
      <c r="B25" t="s">
        <v>7</v>
      </c>
      <c r="C25" s="2">
        <v>31.9</v>
      </c>
      <c r="D25" s="1">
        <v>1</v>
      </c>
      <c r="E25" t="s">
        <v>9</v>
      </c>
      <c r="F25" t="s">
        <v>14</v>
      </c>
      <c r="G25" s="3">
        <v>37701.879999999997</v>
      </c>
      <c r="H25" t="str" cm="1">
        <f t="array" ref="H25">_xlfn.IFS(A25&lt;13, "Child", A25&lt;20, "Teenager", A25&lt;40, "Young Adult", A25&lt;60, "Senior Adult", A25&gt;=60, "Elderly")</f>
        <v>Young Adult</v>
      </c>
    </row>
    <row r="26" spans="1:8" x14ac:dyDescent="0.25">
      <c r="A26" s="1">
        <v>37</v>
      </c>
      <c r="B26" t="s">
        <v>8</v>
      </c>
      <c r="C26" s="2">
        <v>28</v>
      </c>
      <c r="D26" s="1">
        <v>2</v>
      </c>
      <c r="E26" t="s">
        <v>10</v>
      </c>
      <c r="F26" t="s">
        <v>13</v>
      </c>
      <c r="G26" s="3">
        <v>6203.9</v>
      </c>
      <c r="H26" t="str" cm="1">
        <f t="array" ref="H26">_xlfn.IFS(A26&lt;13, "Child", A26&lt;20, "Teenager", A26&lt;40, "Young Adult", A26&lt;60, "Senior Adult", A26&gt;=60, "Elderly")</f>
        <v>Young Adult</v>
      </c>
    </row>
    <row r="27" spans="1:8" x14ac:dyDescent="0.25">
      <c r="A27" s="1">
        <v>59</v>
      </c>
      <c r="B27" t="s">
        <v>7</v>
      </c>
      <c r="C27" s="2">
        <v>27.7</v>
      </c>
      <c r="D27" s="1">
        <v>3</v>
      </c>
      <c r="E27" t="s">
        <v>10</v>
      </c>
      <c r="F27" t="s">
        <v>12</v>
      </c>
      <c r="G27" s="3">
        <v>14001.13</v>
      </c>
      <c r="H27" t="str" cm="1">
        <f t="array" ref="H27">_xlfn.IFS(A27&lt;13, "Child", A27&lt;20, "Teenager", A27&lt;40, "Young Adult", A27&lt;60, "Senior Adult", A27&gt;=60, "Elderly")</f>
        <v>Senior Adult</v>
      </c>
    </row>
    <row r="28" spans="1:8" x14ac:dyDescent="0.25">
      <c r="A28" s="1">
        <v>63</v>
      </c>
      <c r="B28" t="s">
        <v>7</v>
      </c>
      <c r="C28" s="2">
        <v>23.1</v>
      </c>
      <c r="D28" s="1">
        <v>0</v>
      </c>
      <c r="E28" t="s">
        <v>10</v>
      </c>
      <c r="F28" t="s">
        <v>14</v>
      </c>
      <c r="G28" s="3">
        <v>14451.84</v>
      </c>
      <c r="H28" t="str" cm="1">
        <f t="array" ref="H28">_xlfn.IFS(A28&lt;13, "Child", A28&lt;20, "Teenager", A28&lt;40, "Young Adult", A28&lt;60, "Senior Adult", A28&gt;=60, "Elderly")</f>
        <v>Elderly</v>
      </c>
    </row>
    <row r="29" spans="1:8" x14ac:dyDescent="0.25">
      <c r="A29" s="1">
        <v>55</v>
      </c>
      <c r="B29" t="s">
        <v>7</v>
      </c>
      <c r="C29" s="2">
        <v>32.799999999999997</v>
      </c>
      <c r="D29" s="1">
        <v>2</v>
      </c>
      <c r="E29" t="s">
        <v>10</v>
      </c>
      <c r="F29" t="s">
        <v>13</v>
      </c>
      <c r="G29" s="3">
        <v>12268.63</v>
      </c>
      <c r="H29" t="str" cm="1">
        <f t="array" ref="H29">_xlfn.IFS(A29&lt;13, "Child", A29&lt;20, "Teenager", A29&lt;40, "Young Adult", A29&lt;60, "Senior Adult", A29&gt;=60, "Elderly")</f>
        <v>Senior Adult</v>
      </c>
    </row>
    <row r="30" spans="1:8" x14ac:dyDescent="0.25">
      <c r="A30" s="1">
        <v>23</v>
      </c>
      <c r="B30" t="s">
        <v>8</v>
      </c>
      <c r="C30" s="2">
        <v>17.399999999999999</v>
      </c>
      <c r="D30" s="1">
        <v>1</v>
      </c>
      <c r="E30" t="s">
        <v>10</v>
      </c>
      <c r="F30" t="s">
        <v>13</v>
      </c>
      <c r="G30" s="3">
        <v>2775.19</v>
      </c>
      <c r="H30" t="str" cm="1">
        <f t="array" ref="H30">_xlfn.IFS(A30&lt;13, "Child", A30&lt;20, "Teenager", A30&lt;40, "Young Adult", A30&lt;60, "Senior Adult", A30&gt;=60, "Elderly")</f>
        <v>Young Adult</v>
      </c>
    </row>
    <row r="31" spans="1:8" x14ac:dyDescent="0.25">
      <c r="A31" s="1">
        <v>31</v>
      </c>
      <c r="B31" t="s">
        <v>8</v>
      </c>
      <c r="C31" s="2">
        <v>36.299999999999997</v>
      </c>
      <c r="D31" s="1">
        <v>2</v>
      </c>
      <c r="E31" t="s">
        <v>9</v>
      </c>
      <c r="F31" t="s">
        <v>11</v>
      </c>
      <c r="G31" s="3">
        <v>38711</v>
      </c>
      <c r="H31" t="str" cm="1">
        <f t="array" ref="H31">_xlfn.IFS(A31&lt;13, "Child", A31&lt;20, "Teenager", A31&lt;40, "Young Adult", A31&lt;60, "Senior Adult", A31&gt;=60, "Elderly")</f>
        <v>Young Adult</v>
      </c>
    </row>
    <row r="32" spans="1:8" x14ac:dyDescent="0.25">
      <c r="A32" s="1">
        <v>22</v>
      </c>
      <c r="B32" t="s">
        <v>8</v>
      </c>
      <c r="C32" s="2">
        <v>35.6</v>
      </c>
      <c r="D32" s="1">
        <v>0</v>
      </c>
      <c r="E32" t="s">
        <v>9</v>
      </c>
      <c r="F32" t="s">
        <v>11</v>
      </c>
      <c r="G32" s="3">
        <v>35585.58</v>
      </c>
      <c r="H32" t="str" cm="1">
        <f t="array" ref="H32">_xlfn.IFS(A32&lt;13, "Child", A32&lt;20, "Teenager", A32&lt;40, "Young Adult", A32&lt;60, "Senior Adult", A32&gt;=60, "Elderly")</f>
        <v>Young Adult</v>
      </c>
    </row>
    <row r="33" spans="1:8" x14ac:dyDescent="0.25">
      <c r="A33" s="1">
        <v>18</v>
      </c>
      <c r="B33" t="s">
        <v>7</v>
      </c>
      <c r="C33" s="2">
        <v>26.3</v>
      </c>
      <c r="D33" s="1">
        <v>0</v>
      </c>
      <c r="E33" t="s">
        <v>10</v>
      </c>
      <c r="F33" t="s">
        <v>14</v>
      </c>
      <c r="G33" s="3">
        <v>2198.19</v>
      </c>
      <c r="H33" t="str" cm="1">
        <f t="array" ref="H33">_xlfn.IFS(A33&lt;13, "Child", A33&lt;20, "Teenager", A33&lt;40, "Young Adult", A33&lt;60, "Senior Adult", A33&gt;=60, "Elderly")</f>
        <v>Teenager</v>
      </c>
    </row>
    <row r="34" spans="1:8" x14ac:dyDescent="0.25">
      <c r="A34" s="1">
        <v>19</v>
      </c>
      <c r="B34" t="s">
        <v>7</v>
      </c>
      <c r="C34" s="2">
        <v>28.6</v>
      </c>
      <c r="D34" s="1">
        <v>5</v>
      </c>
      <c r="E34" t="s">
        <v>10</v>
      </c>
      <c r="F34" t="s">
        <v>11</v>
      </c>
      <c r="G34" s="3">
        <v>4687.8</v>
      </c>
      <c r="H34" t="str" cm="1">
        <f t="array" ref="H34">_xlfn.IFS(A34&lt;13, "Child", A34&lt;20, "Teenager", A34&lt;40, "Young Adult", A34&lt;60, "Senior Adult", A34&gt;=60, "Elderly")</f>
        <v>Teenager</v>
      </c>
    </row>
    <row r="35" spans="1:8" x14ac:dyDescent="0.25">
      <c r="A35" s="1">
        <v>63</v>
      </c>
      <c r="B35" t="s">
        <v>8</v>
      </c>
      <c r="C35" s="2">
        <v>28.3</v>
      </c>
      <c r="D35" s="1">
        <v>0</v>
      </c>
      <c r="E35" t="s">
        <v>10</v>
      </c>
      <c r="F35" t="s">
        <v>13</v>
      </c>
      <c r="G35" s="3">
        <v>13770.1</v>
      </c>
      <c r="H35" t="str" cm="1">
        <f t="array" ref="H35">_xlfn.IFS(A35&lt;13, "Child", A35&lt;20, "Teenager", A35&lt;40, "Young Adult", A35&lt;60, "Senior Adult", A35&gt;=60, "Elderly")</f>
        <v>Elderly</v>
      </c>
    </row>
    <row r="36" spans="1:8" x14ac:dyDescent="0.25">
      <c r="A36" s="1">
        <v>28</v>
      </c>
      <c r="B36" t="s">
        <v>8</v>
      </c>
      <c r="C36" s="2">
        <v>36.4</v>
      </c>
      <c r="D36" s="1">
        <v>1</v>
      </c>
      <c r="E36" t="s">
        <v>9</v>
      </c>
      <c r="F36" t="s">
        <v>11</v>
      </c>
      <c r="G36" s="3">
        <v>51194.559999999998</v>
      </c>
      <c r="H36" t="str" cm="1">
        <f t="array" ref="H36">_xlfn.IFS(A36&lt;13, "Child", A36&lt;20, "Teenager", A36&lt;40, "Young Adult", A36&lt;60, "Senior Adult", A36&gt;=60, "Elderly")</f>
        <v>Young Adult</v>
      </c>
    </row>
    <row r="37" spans="1:8" x14ac:dyDescent="0.25">
      <c r="A37" s="1">
        <v>19</v>
      </c>
      <c r="B37" t="s">
        <v>8</v>
      </c>
      <c r="C37" s="2">
        <v>20.399999999999999</v>
      </c>
      <c r="D37" s="1">
        <v>0</v>
      </c>
      <c r="E37" t="s">
        <v>10</v>
      </c>
      <c r="F37" t="s">
        <v>13</v>
      </c>
      <c r="G37" s="3">
        <v>1625.43</v>
      </c>
      <c r="H37" t="str" cm="1">
        <f t="array" ref="H37">_xlfn.IFS(A37&lt;13, "Child", A37&lt;20, "Teenager", A37&lt;40, "Young Adult", A37&lt;60, "Senior Adult", A37&gt;=60, "Elderly")</f>
        <v>Teenager</v>
      </c>
    </row>
    <row r="38" spans="1:8" x14ac:dyDescent="0.25">
      <c r="A38" s="1">
        <v>62</v>
      </c>
      <c r="B38" t="s">
        <v>7</v>
      </c>
      <c r="C38" s="2">
        <v>33</v>
      </c>
      <c r="D38" s="1">
        <v>3</v>
      </c>
      <c r="E38" t="s">
        <v>10</v>
      </c>
      <c r="F38" t="s">
        <v>13</v>
      </c>
      <c r="G38" s="3">
        <v>15612.19</v>
      </c>
      <c r="H38" t="str" cm="1">
        <f t="array" ref="H38">_xlfn.IFS(A38&lt;13, "Child", A38&lt;20, "Teenager", A38&lt;40, "Young Adult", A38&lt;60, "Senior Adult", A38&gt;=60, "Elderly")</f>
        <v>Elderly</v>
      </c>
    </row>
    <row r="39" spans="1:8" x14ac:dyDescent="0.25">
      <c r="A39" s="1">
        <v>26</v>
      </c>
      <c r="B39" t="s">
        <v>8</v>
      </c>
      <c r="C39" s="2">
        <v>20.8</v>
      </c>
      <c r="D39" s="1">
        <v>0</v>
      </c>
      <c r="E39" t="s">
        <v>10</v>
      </c>
      <c r="F39" t="s">
        <v>11</v>
      </c>
      <c r="G39" s="3">
        <v>2302.3000000000002</v>
      </c>
      <c r="H39" t="str" cm="1">
        <f t="array" ref="H39">_xlfn.IFS(A39&lt;13, "Child", A39&lt;20, "Teenager", A39&lt;40, "Young Adult", A39&lt;60, "Senior Adult", A39&gt;=60, "Elderly")</f>
        <v>Young Adult</v>
      </c>
    </row>
    <row r="40" spans="1:8" x14ac:dyDescent="0.25">
      <c r="A40" s="1">
        <v>35</v>
      </c>
      <c r="B40" t="s">
        <v>8</v>
      </c>
      <c r="C40" s="2">
        <v>36.700000000000003</v>
      </c>
      <c r="D40" s="1">
        <v>1</v>
      </c>
      <c r="E40" t="s">
        <v>9</v>
      </c>
      <c r="F40" t="s">
        <v>14</v>
      </c>
      <c r="G40" s="3">
        <v>39774.28</v>
      </c>
      <c r="H40" t="str" cm="1">
        <f t="array" ref="H40">_xlfn.IFS(A40&lt;13, "Child", A40&lt;20, "Teenager", A40&lt;40, "Young Adult", A40&lt;60, "Senior Adult", A40&gt;=60, "Elderly")</f>
        <v>Young Adult</v>
      </c>
    </row>
    <row r="41" spans="1:8" x14ac:dyDescent="0.25">
      <c r="A41" s="1">
        <v>60</v>
      </c>
      <c r="B41" t="s">
        <v>8</v>
      </c>
      <c r="C41" s="2">
        <v>39.9</v>
      </c>
      <c r="D41" s="1">
        <v>0</v>
      </c>
      <c r="E41" t="s">
        <v>9</v>
      </c>
      <c r="F41" t="s">
        <v>11</v>
      </c>
      <c r="G41" s="3">
        <v>48173.36</v>
      </c>
      <c r="H41" t="str" cm="1">
        <f t="array" ref="H41">_xlfn.IFS(A41&lt;13, "Child", A41&lt;20, "Teenager", A41&lt;40, "Young Adult", A41&lt;60, "Senior Adult", A41&gt;=60, "Elderly")</f>
        <v>Elderly</v>
      </c>
    </row>
    <row r="42" spans="1:8" x14ac:dyDescent="0.25">
      <c r="A42" s="1">
        <v>24</v>
      </c>
      <c r="B42" t="s">
        <v>7</v>
      </c>
      <c r="C42" s="2">
        <v>26.6</v>
      </c>
      <c r="D42" s="1">
        <v>0</v>
      </c>
      <c r="E42" t="s">
        <v>10</v>
      </c>
      <c r="F42" t="s">
        <v>14</v>
      </c>
      <c r="G42" s="3">
        <v>3046.06</v>
      </c>
      <c r="H42" t="str" cm="1">
        <f t="array" ref="H42">_xlfn.IFS(A42&lt;13, "Child", A42&lt;20, "Teenager", A42&lt;40, "Young Adult", A42&lt;60, "Senior Adult", A42&gt;=60, "Elderly")</f>
        <v>Young Adult</v>
      </c>
    </row>
    <row r="43" spans="1:8" x14ac:dyDescent="0.25">
      <c r="A43" s="1">
        <v>31</v>
      </c>
      <c r="B43" t="s">
        <v>7</v>
      </c>
      <c r="C43" s="2">
        <v>36.6</v>
      </c>
      <c r="D43" s="1">
        <v>2</v>
      </c>
      <c r="E43" t="s">
        <v>10</v>
      </c>
      <c r="F43" t="s">
        <v>12</v>
      </c>
      <c r="G43" s="3">
        <v>4949.76</v>
      </c>
      <c r="H43" t="str" cm="1">
        <f t="array" ref="H43">_xlfn.IFS(A43&lt;13, "Child", A43&lt;20, "Teenager", A43&lt;40, "Young Adult", A43&lt;60, "Senior Adult", A43&gt;=60, "Elderly")</f>
        <v>Young Adult</v>
      </c>
    </row>
    <row r="44" spans="1:8" x14ac:dyDescent="0.25">
      <c r="A44" s="1">
        <v>41</v>
      </c>
      <c r="B44" t="s">
        <v>8</v>
      </c>
      <c r="C44" s="2">
        <v>21.8</v>
      </c>
      <c r="D44" s="1">
        <v>1</v>
      </c>
      <c r="E44" t="s">
        <v>10</v>
      </c>
      <c r="F44" t="s">
        <v>12</v>
      </c>
      <c r="G44" s="3">
        <v>6272.48</v>
      </c>
      <c r="H44" t="str" cm="1">
        <f t="array" ref="H44">_xlfn.IFS(A44&lt;13, "Child", A44&lt;20, "Teenager", A44&lt;40, "Young Adult", A44&lt;60, "Senior Adult", A44&gt;=60, "Elderly")</f>
        <v>Senior Adult</v>
      </c>
    </row>
    <row r="45" spans="1:8" x14ac:dyDescent="0.25">
      <c r="A45" s="1">
        <v>37</v>
      </c>
      <c r="B45" t="s">
        <v>7</v>
      </c>
      <c r="C45" s="2">
        <v>30.8</v>
      </c>
      <c r="D45" s="1">
        <v>2</v>
      </c>
      <c r="E45" t="s">
        <v>10</v>
      </c>
      <c r="F45" t="s">
        <v>12</v>
      </c>
      <c r="G45" s="3">
        <v>6313.76</v>
      </c>
      <c r="H45" t="str" cm="1">
        <f t="array" ref="H45">_xlfn.IFS(A45&lt;13, "Child", A45&lt;20, "Teenager", A45&lt;40, "Young Adult", A45&lt;60, "Senior Adult", A45&gt;=60, "Elderly")</f>
        <v>Young Adult</v>
      </c>
    </row>
    <row r="46" spans="1:8" x14ac:dyDescent="0.25">
      <c r="A46" s="1">
        <v>38</v>
      </c>
      <c r="B46" t="s">
        <v>8</v>
      </c>
      <c r="C46" s="2">
        <v>37.1</v>
      </c>
      <c r="D46" s="1">
        <v>1</v>
      </c>
      <c r="E46" t="s">
        <v>10</v>
      </c>
      <c r="F46" t="s">
        <v>14</v>
      </c>
      <c r="G46" s="3">
        <v>6079.67</v>
      </c>
      <c r="H46" t="str" cm="1">
        <f t="array" ref="H46">_xlfn.IFS(A46&lt;13, "Child", A46&lt;20, "Teenager", A46&lt;40, "Young Adult", A46&lt;60, "Senior Adult", A46&gt;=60, "Elderly")</f>
        <v>Young Adult</v>
      </c>
    </row>
    <row r="47" spans="1:8" x14ac:dyDescent="0.25">
      <c r="A47" s="1">
        <v>55</v>
      </c>
      <c r="B47" t="s">
        <v>8</v>
      </c>
      <c r="C47" s="2">
        <v>37.299999999999997</v>
      </c>
      <c r="D47" s="1">
        <v>0</v>
      </c>
      <c r="E47" t="s">
        <v>10</v>
      </c>
      <c r="F47" t="s">
        <v>11</v>
      </c>
      <c r="G47" s="3">
        <v>20630.28</v>
      </c>
      <c r="H47" t="str" cm="1">
        <f t="array" ref="H47">_xlfn.IFS(A47&lt;13, "Child", A47&lt;20, "Teenager", A47&lt;40, "Young Adult", A47&lt;60, "Senior Adult", A47&gt;=60, "Elderly")</f>
        <v>Senior Adult</v>
      </c>
    </row>
    <row r="48" spans="1:8" x14ac:dyDescent="0.25">
      <c r="A48" s="1">
        <v>18</v>
      </c>
      <c r="B48" t="s">
        <v>7</v>
      </c>
      <c r="C48" s="2">
        <v>38.700000000000003</v>
      </c>
      <c r="D48" s="1">
        <v>2</v>
      </c>
      <c r="E48" t="s">
        <v>10</v>
      </c>
      <c r="F48" t="s">
        <v>14</v>
      </c>
      <c r="G48" s="3">
        <v>3393.36</v>
      </c>
      <c r="H48" t="str" cm="1">
        <f t="array" ref="H48">_xlfn.IFS(A48&lt;13, "Child", A48&lt;20, "Teenager", A48&lt;40, "Young Adult", A48&lt;60, "Senior Adult", A48&gt;=60, "Elderly")</f>
        <v>Teenager</v>
      </c>
    </row>
    <row r="49" spans="1:8" x14ac:dyDescent="0.25">
      <c r="A49" s="1">
        <v>28</v>
      </c>
      <c r="B49" t="s">
        <v>7</v>
      </c>
      <c r="C49" s="2">
        <v>34.799999999999997</v>
      </c>
      <c r="D49" s="1">
        <v>0</v>
      </c>
      <c r="E49" t="s">
        <v>10</v>
      </c>
      <c r="F49" t="s">
        <v>13</v>
      </c>
      <c r="G49" s="3">
        <v>3556.92</v>
      </c>
      <c r="H49" t="str" cm="1">
        <f t="array" ref="H49">_xlfn.IFS(A49&lt;13, "Child", A49&lt;20, "Teenager", A49&lt;40, "Young Adult", A49&lt;60, "Senior Adult", A49&gt;=60, "Elderly")</f>
        <v>Young Adult</v>
      </c>
    </row>
    <row r="50" spans="1:8" x14ac:dyDescent="0.25">
      <c r="A50" s="1">
        <v>60</v>
      </c>
      <c r="B50" t="s">
        <v>7</v>
      </c>
      <c r="C50" s="2">
        <v>24.5</v>
      </c>
      <c r="D50" s="1">
        <v>0</v>
      </c>
      <c r="E50" t="s">
        <v>10</v>
      </c>
      <c r="F50" t="s">
        <v>12</v>
      </c>
      <c r="G50" s="3">
        <v>12629.9</v>
      </c>
      <c r="H50" t="str" cm="1">
        <f t="array" ref="H50">_xlfn.IFS(A50&lt;13, "Child", A50&lt;20, "Teenager", A50&lt;40, "Young Adult", A50&lt;60, "Senior Adult", A50&gt;=60, "Elderly")</f>
        <v>Elderly</v>
      </c>
    </row>
    <row r="51" spans="1:8" x14ac:dyDescent="0.25">
      <c r="A51" s="1">
        <v>36</v>
      </c>
      <c r="B51" t="s">
        <v>8</v>
      </c>
      <c r="C51" s="2">
        <v>35.200000000000003</v>
      </c>
      <c r="D51" s="1">
        <v>1</v>
      </c>
      <c r="E51" t="s">
        <v>9</v>
      </c>
      <c r="F51" t="s">
        <v>12</v>
      </c>
      <c r="G51" s="3">
        <v>38709.18</v>
      </c>
      <c r="H51" t="str" cm="1">
        <f t="array" ref="H51">_xlfn.IFS(A51&lt;13, "Child", A51&lt;20, "Teenager", A51&lt;40, "Young Adult", A51&lt;60, "Senior Adult", A51&gt;=60, "Elderly")</f>
        <v>Young Adult</v>
      </c>
    </row>
    <row r="52" spans="1:8" x14ac:dyDescent="0.25">
      <c r="A52" s="1">
        <v>18</v>
      </c>
      <c r="B52" t="s">
        <v>7</v>
      </c>
      <c r="C52" s="2">
        <v>35.6</v>
      </c>
      <c r="D52" s="1">
        <v>0</v>
      </c>
      <c r="E52" t="s">
        <v>10</v>
      </c>
      <c r="F52" t="s">
        <v>14</v>
      </c>
      <c r="G52" s="3">
        <v>2211.13</v>
      </c>
      <c r="H52" t="str" cm="1">
        <f t="array" ref="H52">_xlfn.IFS(A52&lt;13, "Child", A52&lt;20, "Teenager", A52&lt;40, "Young Adult", A52&lt;60, "Senior Adult", A52&gt;=60, "Elderly")</f>
        <v>Teenager</v>
      </c>
    </row>
    <row r="53" spans="1:8" x14ac:dyDescent="0.25">
      <c r="A53" s="1">
        <v>21</v>
      </c>
      <c r="B53" t="s">
        <v>7</v>
      </c>
      <c r="C53" s="2">
        <v>33.6</v>
      </c>
      <c r="D53" s="1">
        <v>2</v>
      </c>
      <c r="E53" t="s">
        <v>10</v>
      </c>
      <c r="F53" t="s">
        <v>13</v>
      </c>
      <c r="G53" s="3">
        <v>3579.83</v>
      </c>
      <c r="H53" t="str" cm="1">
        <f t="array" ref="H53">_xlfn.IFS(A53&lt;13, "Child", A53&lt;20, "Teenager", A53&lt;40, "Young Adult", A53&lt;60, "Senior Adult", A53&gt;=60, "Elderly")</f>
        <v>Young Adult</v>
      </c>
    </row>
    <row r="54" spans="1:8" x14ac:dyDescent="0.25">
      <c r="A54" s="1">
        <v>48</v>
      </c>
      <c r="B54" t="s">
        <v>8</v>
      </c>
      <c r="C54" s="2">
        <v>28</v>
      </c>
      <c r="D54" s="1">
        <v>1</v>
      </c>
      <c r="E54" t="s">
        <v>9</v>
      </c>
      <c r="F54" t="s">
        <v>11</v>
      </c>
      <c r="G54" s="3">
        <v>23568.27</v>
      </c>
      <c r="H54" t="str" cm="1">
        <f t="array" ref="H54">_xlfn.IFS(A54&lt;13, "Child", A54&lt;20, "Teenager", A54&lt;40, "Young Adult", A54&lt;60, "Senior Adult", A54&gt;=60, "Elderly")</f>
        <v>Senior Adult</v>
      </c>
    </row>
    <row r="55" spans="1:8" x14ac:dyDescent="0.25">
      <c r="A55" s="1">
        <v>36</v>
      </c>
      <c r="B55" t="s">
        <v>8</v>
      </c>
      <c r="C55" s="2">
        <v>34.4</v>
      </c>
      <c r="D55" s="1">
        <v>0</v>
      </c>
      <c r="E55" t="s">
        <v>9</v>
      </c>
      <c r="F55" t="s">
        <v>12</v>
      </c>
      <c r="G55" s="3">
        <v>37742.58</v>
      </c>
      <c r="H55" t="str" cm="1">
        <f t="array" ref="H55">_xlfn.IFS(A55&lt;13, "Child", A55&lt;20, "Teenager", A55&lt;40, "Young Adult", A55&lt;60, "Senior Adult", A55&gt;=60, "Elderly")</f>
        <v>Young Adult</v>
      </c>
    </row>
    <row r="56" spans="1:8" x14ac:dyDescent="0.25">
      <c r="A56" s="1">
        <v>40</v>
      </c>
      <c r="B56" t="s">
        <v>7</v>
      </c>
      <c r="C56" s="2">
        <v>28.7</v>
      </c>
      <c r="D56" s="1">
        <v>3</v>
      </c>
      <c r="E56" t="s">
        <v>10</v>
      </c>
      <c r="F56" t="s">
        <v>13</v>
      </c>
      <c r="G56" s="3">
        <v>8059.68</v>
      </c>
      <c r="H56" t="str" cm="1">
        <f t="array" ref="H56">_xlfn.IFS(A56&lt;13, "Child", A56&lt;20, "Teenager", A56&lt;40, "Young Adult", A56&lt;60, "Senior Adult", A56&gt;=60, "Elderly")</f>
        <v>Senior Adult</v>
      </c>
    </row>
    <row r="57" spans="1:8" x14ac:dyDescent="0.25">
      <c r="A57" s="1">
        <v>58</v>
      </c>
      <c r="B57" t="s">
        <v>8</v>
      </c>
      <c r="C57" s="2">
        <v>37</v>
      </c>
      <c r="D57" s="1">
        <v>2</v>
      </c>
      <c r="E57" t="s">
        <v>9</v>
      </c>
      <c r="F57" t="s">
        <v>13</v>
      </c>
      <c r="G57" s="3">
        <v>47496.49</v>
      </c>
      <c r="H57" t="str" cm="1">
        <f t="array" ref="H57">_xlfn.IFS(A57&lt;13, "Child", A57&lt;20, "Teenager", A57&lt;40, "Young Adult", A57&lt;60, "Senior Adult", A57&gt;=60, "Elderly")</f>
        <v>Senior Adult</v>
      </c>
    </row>
    <row r="58" spans="1:8" x14ac:dyDescent="0.25">
      <c r="A58" s="1">
        <v>58</v>
      </c>
      <c r="B58" t="s">
        <v>7</v>
      </c>
      <c r="C58" s="2">
        <v>31.8</v>
      </c>
      <c r="D58" s="1">
        <v>2</v>
      </c>
      <c r="E58" t="s">
        <v>10</v>
      </c>
      <c r="F58" t="s">
        <v>14</v>
      </c>
      <c r="G58" s="3">
        <v>13607.37</v>
      </c>
      <c r="H58" t="str" cm="1">
        <f t="array" ref="H58">_xlfn.IFS(A58&lt;13, "Child", A58&lt;20, "Teenager", A58&lt;40, "Young Adult", A58&lt;60, "Senior Adult", A58&gt;=60, "Elderly")</f>
        <v>Senior Adult</v>
      </c>
    </row>
    <row r="59" spans="1:8" x14ac:dyDescent="0.25">
      <c r="A59" s="1">
        <v>18</v>
      </c>
      <c r="B59" t="s">
        <v>8</v>
      </c>
      <c r="C59" s="2">
        <v>31.7</v>
      </c>
      <c r="D59" s="1">
        <v>2</v>
      </c>
      <c r="E59" t="s">
        <v>9</v>
      </c>
      <c r="F59" t="s">
        <v>12</v>
      </c>
      <c r="G59" s="3">
        <v>34303.17</v>
      </c>
      <c r="H59" t="str" cm="1">
        <f t="array" ref="H59">_xlfn.IFS(A59&lt;13, "Child", A59&lt;20, "Teenager", A59&lt;40, "Young Adult", A59&lt;60, "Senior Adult", A59&gt;=60, "Elderly")</f>
        <v>Teenager</v>
      </c>
    </row>
    <row r="60" spans="1:8" x14ac:dyDescent="0.25">
      <c r="A60" s="1">
        <v>53</v>
      </c>
      <c r="B60" t="s">
        <v>7</v>
      </c>
      <c r="C60" s="2">
        <v>22.9</v>
      </c>
      <c r="D60" s="1">
        <v>1</v>
      </c>
      <c r="E60" t="s">
        <v>9</v>
      </c>
      <c r="F60" t="s">
        <v>12</v>
      </c>
      <c r="G60" s="3">
        <v>23244.79</v>
      </c>
      <c r="H60" t="str" cm="1">
        <f t="array" ref="H60">_xlfn.IFS(A60&lt;13, "Child", A60&lt;20, "Teenager", A60&lt;40, "Young Adult", A60&lt;60, "Senior Adult", A60&gt;=60, "Elderly")</f>
        <v>Senior Adult</v>
      </c>
    </row>
    <row r="61" spans="1:8" x14ac:dyDescent="0.25">
      <c r="A61" s="1">
        <v>34</v>
      </c>
      <c r="B61" t="s">
        <v>7</v>
      </c>
      <c r="C61" s="2">
        <v>37.299999999999997</v>
      </c>
      <c r="D61" s="1">
        <v>2</v>
      </c>
      <c r="E61" t="s">
        <v>10</v>
      </c>
      <c r="F61" t="s">
        <v>13</v>
      </c>
      <c r="G61" s="3">
        <v>5989.52</v>
      </c>
      <c r="H61" t="str" cm="1">
        <f t="array" ref="H61">_xlfn.IFS(A61&lt;13, "Child", A61&lt;20, "Teenager", A61&lt;40, "Young Adult", A61&lt;60, "Senior Adult", A61&gt;=60, "Elderly")</f>
        <v>Young Adult</v>
      </c>
    </row>
    <row r="62" spans="1:8" x14ac:dyDescent="0.25">
      <c r="A62" s="1">
        <v>43</v>
      </c>
      <c r="B62" t="s">
        <v>8</v>
      </c>
      <c r="C62" s="2">
        <v>27.4</v>
      </c>
      <c r="D62" s="1">
        <v>3</v>
      </c>
      <c r="E62" t="s">
        <v>10</v>
      </c>
      <c r="F62" t="s">
        <v>14</v>
      </c>
      <c r="G62" s="3">
        <v>8606.2199999999993</v>
      </c>
      <c r="H62" t="str" cm="1">
        <f t="array" ref="H62">_xlfn.IFS(A62&lt;13, "Child", A62&lt;20, "Teenager", A62&lt;40, "Young Adult", A62&lt;60, "Senior Adult", A62&gt;=60, "Elderly")</f>
        <v>Senior Adult</v>
      </c>
    </row>
    <row r="63" spans="1:8" x14ac:dyDescent="0.25">
      <c r="A63" s="1">
        <v>25</v>
      </c>
      <c r="B63" t="s">
        <v>8</v>
      </c>
      <c r="C63" s="2">
        <v>33.700000000000003</v>
      </c>
      <c r="D63" s="1">
        <v>4</v>
      </c>
      <c r="E63" t="s">
        <v>10</v>
      </c>
      <c r="F63" t="s">
        <v>12</v>
      </c>
      <c r="G63" s="3">
        <v>4504.66</v>
      </c>
      <c r="H63" t="str" cm="1">
        <f t="array" ref="H63">_xlfn.IFS(A63&lt;13, "Child", A63&lt;20, "Teenager", A63&lt;40, "Young Adult", A63&lt;60, "Senior Adult", A63&gt;=60, "Elderly")</f>
        <v>Young Adult</v>
      </c>
    </row>
    <row r="64" spans="1:8" x14ac:dyDescent="0.25">
      <c r="A64" s="1">
        <v>64</v>
      </c>
      <c r="B64" t="s">
        <v>8</v>
      </c>
      <c r="C64" s="2">
        <v>24.7</v>
      </c>
      <c r="D64" s="1">
        <v>1</v>
      </c>
      <c r="E64" t="s">
        <v>10</v>
      </c>
      <c r="F64" t="s">
        <v>13</v>
      </c>
      <c r="G64" s="3">
        <v>30166.62</v>
      </c>
      <c r="H64" t="str" cm="1">
        <f t="array" ref="H64">_xlfn.IFS(A64&lt;13, "Child", A64&lt;20, "Teenager", A64&lt;40, "Young Adult", A64&lt;60, "Senior Adult", A64&gt;=60, "Elderly")</f>
        <v>Elderly</v>
      </c>
    </row>
    <row r="65" spans="1:8" x14ac:dyDescent="0.25">
      <c r="A65" s="1">
        <v>28</v>
      </c>
      <c r="B65" t="s">
        <v>7</v>
      </c>
      <c r="C65" s="2">
        <v>25.9</v>
      </c>
      <c r="D65" s="1">
        <v>1</v>
      </c>
      <c r="E65" t="s">
        <v>10</v>
      </c>
      <c r="F65" t="s">
        <v>13</v>
      </c>
      <c r="G65" s="3">
        <v>4133.6400000000003</v>
      </c>
      <c r="H65" t="str" cm="1">
        <f t="array" ref="H65">_xlfn.IFS(A65&lt;13, "Child", A65&lt;20, "Teenager", A65&lt;40, "Young Adult", A65&lt;60, "Senior Adult", A65&gt;=60, "Elderly")</f>
        <v>Young Adult</v>
      </c>
    </row>
    <row r="66" spans="1:8" x14ac:dyDescent="0.25">
      <c r="A66" s="1">
        <v>20</v>
      </c>
      <c r="B66" t="s">
        <v>7</v>
      </c>
      <c r="C66" s="2">
        <v>22.4</v>
      </c>
      <c r="D66" s="1">
        <v>0</v>
      </c>
      <c r="E66" t="s">
        <v>9</v>
      </c>
      <c r="F66" t="s">
        <v>13</v>
      </c>
      <c r="G66" s="3">
        <v>14711.74</v>
      </c>
      <c r="H66" t="str" cm="1">
        <f t="array" ref="H66">_xlfn.IFS(A66&lt;13, "Child", A66&lt;20, "Teenager", A66&lt;40, "Young Adult", A66&lt;60, "Senior Adult", A66&gt;=60, "Elderly")</f>
        <v>Young Adult</v>
      </c>
    </row>
    <row r="67" spans="1:8" x14ac:dyDescent="0.25">
      <c r="A67" s="1">
        <v>19</v>
      </c>
      <c r="B67" t="s">
        <v>7</v>
      </c>
      <c r="C67" s="2">
        <v>28.9</v>
      </c>
      <c r="D67" s="1">
        <v>0</v>
      </c>
      <c r="E67" t="s">
        <v>10</v>
      </c>
      <c r="F67" t="s">
        <v>11</v>
      </c>
      <c r="G67" s="3">
        <v>1743.21</v>
      </c>
      <c r="H67" t="str" cm="1">
        <f t="array" ref="H67">_xlfn.IFS(A67&lt;13, "Child", A67&lt;20, "Teenager", A67&lt;40, "Young Adult", A67&lt;60, "Senior Adult", A67&gt;=60, "Elderly")</f>
        <v>Teenager</v>
      </c>
    </row>
    <row r="68" spans="1:8" x14ac:dyDescent="0.25">
      <c r="A68" s="1">
        <v>61</v>
      </c>
      <c r="B68" t="s">
        <v>7</v>
      </c>
      <c r="C68" s="2">
        <v>39.1</v>
      </c>
      <c r="D68" s="1">
        <v>2</v>
      </c>
      <c r="E68" t="s">
        <v>10</v>
      </c>
      <c r="F68" t="s">
        <v>11</v>
      </c>
      <c r="G68" s="3">
        <v>14235.07</v>
      </c>
      <c r="H68" t="str" cm="1">
        <f t="array" ref="H68">_xlfn.IFS(A68&lt;13, "Child", A68&lt;20, "Teenager", A68&lt;40, "Young Adult", A68&lt;60, "Senior Adult", A68&gt;=60, "Elderly")</f>
        <v>Elderly</v>
      </c>
    </row>
    <row r="69" spans="1:8" x14ac:dyDescent="0.25">
      <c r="A69" s="1">
        <v>40</v>
      </c>
      <c r="B69" t="s">
        <v>8</v>
      </c>
      <c r="C69" s="2">
        <v>26.3</v>
      </c>
      <c r="D69" s="1">
        <v>1</v>
      </c>
      <c r="E69" t="s">
        <v>10</v>
      </c>
      <c r="F69" t="s">
        <v>13</v>
      </c>
      <c r="G69" s="3">
        <v>6389.38</v>
      </c>
      <c r="H69" t="str" cm="1">
        <f t="array" ref="H69">_xlfn.IFS(A69&lt;13, "Child", A69&lt;20, "Teenager", A69&lt;40, "Young Adult", A69&lt;60, "Senior Adult", A69&gt;=60, "Elderly")</f>
        <v>Senior Adult</v>
      </c>
    </row>
    <row r="70" spans="1:8" x14ac:dyDescent="0.25">
      <c r="A70" s="1">
        <v>40</v>
      </c>
      <c r="B70" t="s">
        <v>7</v>
      </c>
      <c r="C70" s="2">
        <v>36.200000000000003</v>
      </c>
      <c r="D70" s="1">
        <v>0</v>
      </c>
      <c r="E70" t="s">
        <v>10</v>
      </c>
      <c r="F70" t="s">
        <v>12</v>
      </c>
      <c r="G70" s="3">
        <v>5920.1</v>
      </c>
      <c r="H70" t="str" cm="1">
        <f t="array" ref="H70">_xlfn.IFS(A70&lt;13, "Child", A70&lt;20, "Teenager", A70&lt;40, "Young Adult", A70&lt;60, "Senior Adult", A70&gt;=60, "Elderly")</f>
        <v>Senior Adult</v>
      </c>
    </row>
    <row r="71" spans="1:8" x14ac:dyDescent="0.25">
      <c r="A71" s="1">
        <v>28</v>
      </c>
      <c r="B71" t="s">
        <v>8</v>
      </c>
      <c r="C71" s="2">
        <v>24</v>
      </c>
      <c r="D71" s="1">
        <v>3</v>
      </c>
      <c r="E71" t="s">
        <v>9</v>
      </c>
      <c r="F71" t="s">
        <v>12</v>
      </c>
      <c r="G71" s="3">
        <v>17663.14</v>
      </c>
      <c r="H71" t="str" cm="1">
        <f t="array" ref="H71">_xlfn.IFS(A71&lt;13, "Child", A71&lt;20, "Teenager", A71&lt;40, "Young Adult", A71&lt;60, "Senior Adult", A71&gt;=60, "Elderly")</f>
        <v>Young Adult</v>
      </c>
    </row>
    <row r="72" spans="1:8" x14ac:dyDescent="0.25">
      <c r="A72" s="1">
        <v>27</v>
      </c>
      <c r="B72" t="s">
        <v>7</v>
      </c>
      <c r="C72" s="2">
        <v>24.8</v>
      </c>
      <c r="D72" s="1">
        <v>0</v>
      </c>
      <c r="E72" t="s">
        <v>9</v>
      </c>
      <c r="F72" t="s">
        <v>12</v>
      </c>
      <c r="G72" s="3">
        <v>16577.78</v>
      </c>
      <c r="H72" t="str" cm="1">
        <f t="array" ref="H72">_xlfn.IFS(A72&lt;13, "Child", A72&lt;20, "Teenager", A72&lt;40, "Young Adult", A72&lt;60, "Senior Adult", A72&gt;=60, "Elderly")</f>
        <v>Young Adult</v>
      </c>
    </row>
    <row r="73" spans="1:8" x14ac:dyDescent="0.25">
      <c r="A73" s="1">
        <v>31</v>
      </c>
      <c r="B73" t="s">
        <v>8</v>
      </c>
      <c r="C73" s="2">
        <v>28.5</v>
      </c>
      <c r="D73" s="1">
        <v>5</v>
      </c>
      <c r="E73" t="s">
        <v>10</v>
      </c>
      <c r="F73" t="s">
        <v>14</v>
      </c>
      <c r="G73" s="3">
        <v>6799.46</v>
      </c>
      <c r="H73" t="str" cm="1">
        <f t="array" ref="H73">_xlfn.IFS(A73&lt;13, "Child", A73&lt;20, "Teenager", A73&lt;40, "Young Adult", A73&lt;60, "Senior Adult", A73&gt;=60, "Elderly")</f>
        <v>Young Adult</v>
      </c>
    </row>
    <row r="74" spans="1:8" x14ac:dyDescent="0.25">
      <c r="A74" s="1">
        <v>53</v>
      </c>
      <c r="B74" t="s">
        <v>7</v>
      </c>
      <c r="C74" s="2">
        <v>28.1</v>
      </c>
      <c r="D74" s="1">
        <v>3</v>
      </c>
      <c r="E74" t="s">
        <v>10</v>
      </c>
      <c r="F74" t="s">
        <v>11</v>
      </c>
      <c r="G74" s="3">
        <v>11741.73</v>
      </c>
      <c r="H74" t="str" cm="1">
        <f t="array" ref="H74">_xlfn.IFS(A74&lt;13, "Child", A74&lt;20, "Teenager", A74&lt;40, "Young Adult", A74&lt;60, "Senior Adult", A74&gt;=60, "Elderly")</f>
        <v>Senior Adult</v>
      </c>
    </row>
    <row r="75" spans="1:8" x14ac:dyDescent="0.25">
      <c r="A75" s="1">
        <v>58</v>
      </c>
      <c r="B75" t="s">
        <v>8</v>
      </c>
      <c r="C75" s="2">
        <v>32</v>
      </c>
      <c r="D75" s="1">
        <v>1</v>
      </c>
      <c r="E75" t="s">
        <v>10</v>
      </c>
      <c r="F75" t="s">
        <v>12</v>
      </c>
      <c r="G75" s="3">
        <v>11946.63</v>
      </c>
      <c r="H75" t="str" cm="1">
        <f t="array" ref="H75">_xlfn.IFS(A75&lt;13, "Child", A75&lt;20, "Teenager", A75&lt;40, "Young Adult", A75&lt;60, "Senior Adult", A75&gt;=60, "Elderly")</f>
        <v>Senior Adult</v>
      </c>
    </row>
    <row r="76" spans="1:8" x14ac:dyDescent="0.25">
      <c r="A76" s="1">
        <v>44</v>
      </c>
      <c r="B76" t="s">
        <v>8</v>
      </c>
      <c r="C76" s="2">
        <v>27.4</v>
      </c>
      <c r="D76" s="1">
        <v>2</v>
      </c>
      <c r="E76" t="s">
        <v>10</v>
      </c>
      <c r="F76" t="s">
        <v>11</v>
      </c>
      <c r="G76" s="3">
        <v>7726.85</v>
      </c>
      <c r="H76" t="str" cm="1">
        <f t="array" ref="H76">_xlfn.IFS(A76&lt;13, "Child", A76&lt;20, "Teenager", A76&lt;40, "Young Adult", A76&lt;60, "Senior Adult", A76&gt;=60, "Elderly")</f>
        <v>Senior Adult</v>
      </c>
    </row>
    <row r="77" spans="1:8" x14ac:dyDescent="0.25">
      <c r="A77" s="1">
        <v>57</v>
      </c>
      <c r="B77" t="s">
        <v>8</v>
      </c>
      <c r="C77" s="2">
        <v>34</v>
      </c>
      <c r="D77" s="1">
        <v>0</v>
      </c>
      <c r="E77" t="s">
        <v>10</v>
      </c>
      <c r="F77" t="s">
        <v>13</v>
      </c>
      <c r="G77" s="3">
        <v>11356.66</v>
      </c>
      <c r="H77" t="str" cm="1">
        <f t="array" ref="H77">_xlfn.IFS(A77&lt;13, "Child", A77&lt;20, "Teenager", A77&lt;40, "Young Adult", A77&lt;60, "Senior Adult", A77&gt;=60, "Elderly")</f>
        <v>Senior Adult</v>
      </c>
    </row>
    <row r="78" spans="1:8" x14ac:dyDescent="0.25">
      <c r="A78" s="1">
        <v>29</v>
      </c>
      <c r="B78" t="s">
        <v>7</v>
      </c>
      <c r="C78" s="2">
        <v>29.6</v>
      </c>
      <c r="D78" s="1">
        <v>1</v>
      </c>
      <c r="E78" t="s">
        <v>10</v>
      </c>
      <c r="F78" t="s">
        <v>12</v>
      </c>
      <c r="G78" s="3">
        <v>3947.41</v>
      </c>
      <c r="H78" t="str" cm="1">
        <f t="array" ref="H78">_xlfn.IFS(A78&lt;13, "Child", A78&lt;20, "Teenager", A78&lt;40, "Young Adult", A78&lt;60, "Senior Adult", A78&gt;=60, "Elderly")</f>
        <v>Young Adult</v>
      </c>
    </row>
    <row r="79" spans="1:8" x14ac:dyDescent="0.25">
      <c r="A79" s="1">
        <v>21</v>
      </c>
      <c r="B79" t="s">
        <v>8</v>
      </c>
      <c r="C79" s="2">
        <v>35.5</v>
      </c>
      <c r="D79" s="1">
        <v>0</v>
      </c>
      <c r="E79" t="s">
        <v>10</v>
      </c>
      <c r="F79" t="s">
        <v>12</v>
      </c>
      <c r="G79" s="3">
        <v>1532.47</v>
      </c>
      <c r="H79" t="str" cm="1">
        <f t="array" ref="H79">_xlfn.IFS(A79&lt;13, "Child", A79&lt;20, "Teenager", A79&lt;40, "Young Adult", A79&lt;60, "Senior Adult", A79&gt;=60, "Elderly")</f>
        <v>Young Adult</v>
      </c>
    </row>
    <row r="80" spans="1:8" x14ac:dyDescent="0.25">
      <c r="A80" s="1">
        <v>22</v>
      </c>
      <c r="B80" t="s">
        <v>7</v>
      </c>
      <c r="C80" s="2">
        <v>39.799999999999997</v>
      </c>
      <c r="D80" s="1">
        <v>0</v>
      </c>
      <c r="E80" t="s">
        <v>10</v>
      </c>
      <c r="F80" t="s">
        <v>14</v>
      </c>
      <c r="G80" s="3">
        <v>2755.02</v>
      </c>
      <c r="H80" t="str" cm="1">
        <f t="array" ref="H80">_xlfn.IFS(A80&lt;13, "Child", A80&lt;20, "Teenager", A80&lt;40, "Young Adult", A80&lt;60, "Senior Adult", A80&gt;=60, "Elderly")</f>
        <v>Young Adult</v>
      </c>
    </row>
    <row r="81" spans="1:8" x14ac:dyDescent="0.25">
      <c r="A81" s="1">
        <v>41</v>
      </c>
      <c r="B81" t="s">
        <v>7</v>
      </c>
      <c r="C81" s="2">
        <v>33</v>
      </c>
      <c r="D81" s="1">
        <v>0</v>
      </c>
      <c r="E81" t="s">
        <v>10</v>
      </c>
      <c r="F81" t="s">
        <v>13</v>
      </c>
      <c r="G81" s="3">
        <v>6571.02</v>
      </c>
      <c r="H81" t="str" cm="1">
        <f t="array" ref="H81">_xlfn.IFS(A81&lt;13, "Child", A81&lt;20, "Teenager", A81&lt;40, "Young Adult", A81&lt;60, "Senior Adult", A81&gt;=60, "Elderly")</f>
        <v>Senior Adult</v>
      </c>
    </row>
    <row r="82" spans="1:8" x14ac:dyDescent="0.25">
      <c r="A82" s="1">
        <v>31</v>
      </c>
      <c r="B82" t="s">
        <v>8</v>
      </c>
      <c r="C82" s="2">
        <v>26.9</v>
      </c>
      <c r="D82" s="1">
        <v>1</v>
      </c>
      <c r="E82" t="s">
        <v>10</v>
      </c>
      <c r="F82" t="s">
        <v>14</v>
      </c>
      <c r="G82" s="3">
        <v>4441.21</v>
      </c>
      <c r="H82" t="str" cm="1">
        <f t="array" ref="H82">_xlfn.IFS(A82&lt;13, "Child", A82&lt;20, "Teenager", A82&lt;40, "Young Adult", A82&lt;60, "Senior Adult", A82&gt;=60, "Elderly")</f>
        <v>Young Adult</v>
      </c>
    </row>
    <row r="83" spans="1:8" x14ac:dyDescent="0.25">
      <c r="A83" s="1">
        <v>45</v>
      </c>
      <c r="B83" t="s">
        <v>7</v>
      </c>
      <c r="C83" s="2">
        <v>38.299999999999997</v>
      </c>
      <c r="D83" s="1">
        <v>0</v>
      </c>
      <c r="E83" t="s">
        <v>10</v>
      </c>
      <c r="F83" t="s">
        <v>14</v>
      </c>
      <c r="G83" s="3">
        <v>7935.29</v>
      </c>
      <c r="H83" t="str" cm="1">
        <f t="array" ref="H83">_xlfn.IFS(A83&lt;13, "Child", A83&lt;20, "Teenager", A83&lt;40, "Young Adult", A83&lt;60, "Senior Adult", A83&gt;=60, "Elderly")</f>
        <v>Senior Adult</v>
      </c>
    </row>
    <row r="84" spans="1:8" x14ac:dyDescent="0.25">
      <c r="A84" s="1">
        <v>22</v>
      </c>
      <c r="B84" t="s">
        <v>8</v>
      </c>
      <c r="C84" s="2">
        <v>37.6</v>
      </c>
      <c r="D84" s="1">
        <v>1</v>
      </c>
      <c r="E84" t="s">
        <v>9</v>
      </c>
      <c r="F84" t="s">
        <v>12</v>
      </c>
      <c r="G84" s="3">
        <v>37165.160000000003</v>
      </c>
      <c r="H84" t="str" cm="1">
        <f t="array" ref="H84">_xlfn.IFS(A84&lt;13, "Child", A84&lt;20, "Teenager", A84&lt;40, "Young Adult", A84&lt;60, "Senior Adult", A84&gt;=60, "Elderly")</f>
        <v>Young Adult</v>
      </c>
    </row>
    <row r="85" spans="1:8" x14ac:dyDescent="0.25">
      <c r="A85" s="1">
        <v>48</v>
      </c>
      <c r="B85" t="s">
        <v>7</v>
      </c>
      <c r="C85" s="2">
        <v>41.2</v>
      </c>
      <c r="D85" s="1">
        <v>4</v>
      </c>
      <c r="E85" t="s">
        <v>10</v>
      </c>
      <c r="F85" t="s">
        <v>13</v>
      </c>
      <c r="G85" s="3">
        <v>11033.66</v>
      </c>
      <c r="H85" t="str" cm="1">
        <f t="array" ref="H85">_xlfn.IFS(A85&lt;13, "Child", A85&lt;20, "Teenager", A85&lt;40, "Young Adult", A85&lt;60, "Senior Adult", A85&gt;=60, "Elderly")</f>
        <v>Senior Adult</v>
      </c>
    </row>
    <row r="86" spans="1:8" x14ac:dyDescent="0.25">
      <c r="A86" s="1">
        <v>37</v>
      </c>
      <c r="B86" t="s">
        <v>7</v>
      </c>
      <c r="C86" s="2">
        <v>34.799999999999997</v>
      </c>
      <c r="D86" s="1">
        <v>2</v>
      </c>
      <c r="E86" t="s">
        <v>9</v>
      </c>
      <c r="F86" t="s">
        <v>11</v>
      </c>
      <c r="G86" s="3">
        <v>39836.519999999997</v>
      </c>
      <c r="H86" t="str" cm="1">
        <f t="array" ref="H86">_xlfn.IFS(A86&lt;13, "Child", A86&lt;20, "Teenager", A86&lt;40, "Young Adult", A86&lt;60, "Senior Adult", A86&gt;=60, "Elderly")</f>
        <v>Young Adult</v>
      </c>
    </row>
    <row r="87" spans="1:8" x14ac:dyDescent="0.25">
      <c r="A87" s="1">
        <v>45</v>
      </c>
      <c r="B87" t="s">
        <v>8</v>
      </c>
      <c r="C87" s="2">
        <v>22.9</v>
      </c>
      <c r="D87" s="1">
        <v>2</v>
      </c>
      <c r="E87" t="s">
        <v>9</v>
      </c>
      <c r="F87" t="s">
        <v>13</v>
      </c>
      <c r="G87" s="3">
        <v>21098.55</v>
      </c>
      <c r="H87" t="str" cm="1">
        <f t="array" ref="H87">_xlfn.IFS(A87&lt;13, "Child", A87&lt;20, "Teenager", A87&lt;40, "Young Adult", A87&lt;60, "Senior Adult", A87&gt;=60, "Elderly")</f>
        <v>Senior Adult</v>
      </c>
    </row>
    <row r="88" spans="1:8" x14ac:dyDescent="0.25">
      <c r="A88" s="1">
        <v>57</v>
      </c>
      <c r="B88" t="s">
        <v>7</v>
      </c>
      <c r="C88" s="2">
        <v>31.2</v>
      </c>
      <c r="D88" s="1">
        <v>0</v>
      </c>
      <c r="E88" t="s">
        <v>9</v>
      </c>
      <c r="F88" t="s">
        <v>13</v>
      </c>
      <c r="G88" s="3">
        <v>43578.94</v>
      </c>
      <c r="H88" t="str" cm="1">
        <f t="array" ref="H88">_xlfn.IFS(A88&lt;13, "Child", A88&lt;20, "Teenager", A88&lt;40, "Young Adult", A88&lt;60, "Senior Adult", A88&gt;=60, "Elderly")</f>
        <v>Senior Adult</v>
      </c>
    </row>
    <row r="89" spans="1:8" x14ac:dyDescent="0.25">
      <c r="A89" s="1">
        <v>56</v>
      </c>
      <c r="B89" t="s">
        <v>7</v>
      </c>
      <c r="C89" s="2">
        <v>27.2</v>
      </c>
      <c r="D89" s="1">
        <v>0</v>
      </c>
      <c r="E89" t="s">
        <v>10</v>
      </c>
      <c r="F89" t="s">
        <v>11</v>
      </c>
      <c r="G89" s="3">
        <v>11073.18</v>
      </c>
      <c r="H89" t="str" cm="1">
        <f t="array" ref="H89">_xlfn.IFS(A89&lt;13, "Child", A89&lt;20, "Teenager", A89&lt;40, "Young Adult", A89&lt;60, "Senior Adult", A89&gt;=60, "Elderly")</f>
        <v>Senior Adult</v>
      </c>
    </row>
    <row r="90" spans="1:8" x14ac:dyDescent="0.25">
      <c r="A90" s="1">
        <v>46</v>
      </c>
      <c r="B90" t="s">
        <v>7</v>
      </c>
      <c r="C90" s="2">
        <v>27.7</v>
      </c>
      <c r="D90" s="1">
        <v>0</v>
      </c>
      <c r="E90" t="s">
        <v>10</v>
      </c>
      <c r="F90" t="s">
        <v>13</v>
      </c>
      <c r="G90" s="3">
        <v>8026.67</v>
      </c>
      <c r="H90" t="str" cm="1">
        <f t="array" ref="H90">_xlfn.IFS(A90&lt;13, "Child", A90&lt;20, "Teenager", A90&lt;40, "Young Adult", A90&lt;60, "Senior Adult", A90&gt;=60, "Elderly")</f>
        <v>Senior Adult</v>
      </c>
    </row>
    <row r="91" spans="1:8" x14ac:dyDescent="0.25">
      <c r="A91" s="1">
        <v>55</v>
      </c>
      <c r="B91" t="s">
        <v>7</v>
      </c>
      <c r="C91" s="2">
        <v>27</v>
      </c>
      <c r="D91" s="1">
        <v>0</v>
      </c>
      <c r="E91" t="s">
        <v>10</v>
      </c>
      <c r="F91" t="s">
        <v>13</v>
      </c>
      <c r="G91" s="3">
        <v>11082.58</v>
      </c>
      <c r="H91" t="str" cm="1">
        <f t="array" ref="H91">_xlfn.IFS(A91&lt;13, "Child", A91&lt;20, "Teenager", A91&lt;40, "Young Adult", A91&lt;60, "Senior Adult", A91&gt;=60, "Elderly")</f>
        <v>Senior Adult</v>
      </c>
    </row>
    <row r="92" spans="1:8" x14ac:dyDescent="0.25">
      <c r="A92" s="1">
        <v>21</v>
      </c>
      <c r="B92" t="s">
        <v>7</v>
      </c>
      <c r="C92" s="2">
        <v>39.5</v>
      </c>
      <c r="D92" s="1">
        <v>0</v>
      </c>
      <c r="E92" t="s">
        <v>10</v>
      </c>
      <c r="F92" t="s">
        <v>12</v>
      </c>
      <c r="G92" s="3">
        <v>2026.97</v>
      </c>
      <c r="H92" t="str" cm="1">
        <f t="array" ref="H92">_xlfn.IFS(A92&lt;13, "Child", A92&lt;20, "Teenager", A92&lt;40, "Young Adult", A92&lt;60, "Senior Adult", A92&gt;=60, "Elderly")</f>
        <v>Young Adult</v>
      </c>
    </row>
    <row r="93" spans="1:8" x14ac:dyDescent="0.25">
      <c r="A93" s="1">
        <v>53</v>
      </c>
      <c r="B93" t="s">
        <v>7</v>
      </c>
      <c r="C93" s="2">
        <v>24.8</v>
      </c>
      <c r="D93" s="1">
        <v>1</v>
      </c>
      <c r="E93" t="s">
        <v>10</v>
      </c>
      <c r="F93" t="s">
        <v>13</v>
      </c>
      <c r="G93" s="3">
        <v>10942.13</v>
      </c>
      <c r="H93" t="str" cm="1">
        <f t="array" ref="H93">_xlfn.IFS(A93&lt;13, "Child", A93&lt;20, "Teenager", A93&lt;40, "Young Adult", A93&lt;60, "Senior Adult", A93&gt;=60, "Elderly")</f>
        <v>Senior Adult</v>
      </c>
    </row>
    <row r="94" spans="1:8" x14ac:dyDescent="0.25">
      <c r="A94" s="1">
        <v>59</v>
      </c>
      <c r="B94" t="s">
        <v>8</v>
      </c>
      <c r="C94" s="2">
        <v>29.8</v>
      </c>
      <c r="D94" s="1">
        <v>3</v>
      </c>
      <c r="E94" t="s">
        <v>9</v>
      </c>
      <c r="F94" t="s">
        <v>14</v>
      </c>
      <c r="G94" s="3">
        <v>30184.94</v>
      </c>
      <c r="H94" t="str" cm="1">
        <f t="array" ref="H94">_xlfn.IFS(A94&lt;13, "Child", A94&lt;20, "Teenager", A94&lt;40, "Young Adult", A94&lt;60, "Senior Adult", A94&gt;=60, "Elderly")</f>
        <v>Senior Adult</v>
      </c>
    </row>
    <row r="95" spans="1:8" x14ac:dyDescent="0.25">
      <c r="A95" s="1">
        <v>35</v>
      </c>
      <c r="B95" t="s">
        <v>8</v>
      </c>
      <c r="C95" s="2">
        <v>34.799999999999997</v>
      </c>
      <c r="D95" s="1">
        <v>2</v>
      </c>
      <c r="E95" t="s">
        <v>10</v>
      </c>
      <c r="F95" t="s">
        <v>13</v>
      </c>
      <c r="G95" s="3">
        <v>5729.01</v>
      </c>
      <c r="H95" t="str" cm="1">
        <f t="array" ref="H95">_xlfn.IFS(A95&lt;13, "Child", A95&lt;20, "Teenager", A95&lt;40, "Young Adult", A95&lt;60, "Senior Adult", A95&gt;=60, "Elderly")</f>
        <v>Young Adult</v>
      </c>
    </row>
    <row r="96" spans="1:8" x14ac:dyDescent="0.25">
      <c r="A96" s="1">
        <v>64</v>
      </c>
      <c r="B96" t="s">
        <v>7</v>
      </c>
      <c r="C96" s="2">
        <v>31.3</v>
      </c>
      <c r="D96" s="1">
        <v>2</v>
      </c>
      <c r="E96" t="s">
        <v>9</v>
      </c>
      <c r="F96" t="s">
        <v>11</v>
      </c>
      <c r="G96" s="3">
        <v>47291.06</v>
      </c>
      <c r="H96" t="str" cm="1">
        <f t="array" ref="H96">_xlfn.IFS(A96&lt;13, "Child", A96&lt;20, "Teenager", A96&lt;40, "Young Adult", A96&lt;60, "Senior Adult", A96&gt;=60, "Elderly")</f>
        <v>Elderly</v>
      </c>
    </row>
    <row r="97" spans="1:8" x14ac:dyDescent="0.25">
      <c r="A97" s="1">
        <v>28</v>
      </c>
      <c r="B97" t="s">
        <v>7</v>
      </c>
      <c r="C97" s="2">
        <v>37.6</v>
      </c>
      <c r="D97" s="1">
        <v>1</v>
      </c>
      <c r="E97" t="s">
        <v>10</v>
      </c>
      <c r="F97" t="s">
        <v>12</v>
      </c>
      <c r="G97" s="3">
        <v>3766.88</v>
      </c>
      <c r="H97" t="str" cm="1">
        <f t="array" ref="H97">_xlfn.IFS(A97&lt;13, "Child", A97&lt;20, "Teenager", A97&lt;40, "Young Adult", A97&lt;60, "Senior Adult", A97&gt;=60, "Elderly")</f>
        <v>Young Adult</v>
      </c>
    </row>
    <row r="98" spans="1:8" x14ac:dyDescent="0.25">
      <c r="A98" s="1">
        <v>54</v>
      </c>
      <c r="B98" t="s">
        <v>7</v>
      </c>
      <c r="C98" s="2">
        <v>30.8</v>
      </c>
      <c r="D98" s="1">
        <v>3</v>
      </c>
      <c r="E98" t="s">
        <v>10</v>
      </c>
      <c r="F98" t="s">
        <v>11</v>
      </c>
      <c r="G98" s="3">
        <v>12105.32</v>
      </c>
      <c r="H98" t="str" cm="1">
        <f t="array" ref="H98">_xlfn.IFS(A98&lt;13, "Child", A98&lt;20, "Teenager", A98&lt;40, "Young Adult", A98&lt;60, "Senior Adult", A98&gt;=60, "Elderly")</f>
        <v>Senior Adult</v>
      </c>
    </row>
    <row r="99" spans="1:8" x14ac:dyDescent="0.25">
      <c r="A99" s="1">
        <v>55</v>
      </c>
      <c r="B99" t="s">
        <v>8</v>
      </c>
      <c r="C99" s="2">
        <v>38.299999999999997</v>
      </c>
      <c r="D99" s="1">
        <v>0</v>
      </c>
      <c r="E99" t="s">
        <v>10</v>
      </c>
      <c r="F99" t="s">
        <v>12</v>
      </c>
      <c r="G99" s="3">
        <v>10226.280000000001</v>
      </c>
      <c r="H99" t="str" cm="1">
        <f t="array" ref="H99">_xlfn.IFS(A99&lt;13, "Child", A99&lt;20, "Teenager", A99&lt;40, "Young Adult", A99&lt;60, "Senior Adult", A99&gt;=60, "Elderly")</f>
        <v>Senior Adult</v>
      </c>
    </row>
    <row r="100" spans="1:8" x14ac:dyDescent="0.25">
      <c r="A100" s="1">
        <v>56</v>
      </c>
      <c r="B100" t="s">
        <v>8</v>
      </c>
      <c r="C100" s="2">
        <v>20</v>
      </c>
      <c r="D100" s="1">
        <v>0</v>
      </c>
      <c r="E100" t="s">
        <v>9</v>
      </c>
      <c r="F100" t="s">
        <v>14</v>
      </c>
      <c r="G100" s="3">
        <v>22412.65</v>
      </c>
      <c r="H100" t="str" cm="1">
        <f t="array" ref="H100">_xlfn.IFS(A100&lt;13, "Child", A100&lt;20, "Teenager", A100&lt;40, "Young Adult", A100&lt;60, "Senior Adult", A100&gt;=60, "Elderly")</f>
        <v>Senior Adult</v>
      </c>
    </row>
    <row r="101" spans="1:8" x14ac:dyDescent="0.25">
      <c r="A101" s="1">
        <v>38</v>
      </c>
      <c r="B101" t="s">
        <v>8</v>
      </c>
      <c r="C101" s="2">
        <v>19.3</v>
      </c>
      <c r="D101" s="1">
        <v>0</v>
      </c>
      <c r="E101" t="s">
        <v>9</v>
      </c>
      <c r="F101" t="s">
        <v>11</v>
      </c>
      <c r="G101" s="3">
        <v>15820.7</v>
      </c>
      <c r="H101" t="str" cm="1">
        <f t="array" ref="H101">_xlfn.IFS(A101&lt;13, "Child", A101&lt;20, "Teenager", A101&lt;40, "Young Adult", A101&lt;60, "Senior Adult", A101&gt;=60, "Elderly")</f>
        <v>Young Adult</v>
      </c>
    </row>
    <row r="102" spans="1:8" x14ac:dyDescent="0.25">
      <c r="A102" s="1">
        <v>41</v>
      </c>
      <c r="B102" t="s">
        <v>7</v>
      </c>
      <c r="C102" s="2">
        <v>31.6</v>
      </c>
      <c r="D102" s="1">
        <v>0</v>
      </c>
      <c r="E102" t="s">
        <v>10</v>
      </c>
      <c r="F102" t="s">
        <v>11</v>
      </c>
      <c r="G102" s="3">
        <v>6186.13</v>
      </c>
      <c r="H102" t="str" cm="1">
        <f t="array" ref="H102">_xlfn.IFS(A102&lt;13, "Child", A102&lt;20, "Teenager", A102&lt;40, "Young Adult", A102&lt;60, "Senior Adult", A102&gt;=60, "Elderly")</f>
        <v>Senior Adult</v>
      </c>
    </row>
    <row r="103" spans="1:8" x14ac:dyDescent="0.25">
      <c r="A103" s="1">
        <v>30</v>
      </c>
      <c r="B103" t="s">
        <v>8</v>
      </c>
      <c r="C103" s="2">
        <v>25.5</v>
      </c>
      <c r="D103" s="1">
        <v>0</v>
      </c>
      <c r="E103" t="s">
        <v>10</v>
      </c>
      <c r="F103" t="s">
        <v>14</v>
      </c>
      <c r="G103" s="3">
        <v>3645.09</v>
      </c>
      <c r="H103" t="str" cm="1">
        <f t="array" ref="H103">_xlfn.IFS(A103&lt;13, "Child", A103&lt;20, "Teenager", A103&lt;40, "Young Adult", A103&lt;60, "Senior Adult", A103&gt;=60, "Elderly")</f>
        <v>Young Adult</v>
      </c>
    </row>
    <row r="104" spans="1:8" x14ac:dyDescent="0.25">
      <c r="A104" s="1">
        <v>18</v>
      </c>
      <c r="B104" t="s">
        <v>7</v>
      </c>
      <c r="C104" s="2">
        <v>30.1</v>
      </c>
      <c r="D104" s="1">
        <v>0</v>
      </c>
      <c r="E104" t="s">
        <v>10</v>
      </c>
      <c r="F104" t="s">
        <v>14</v>
      </c>
      <c r="G104" s="3">
        <v>21344.85</v>
      </c>
      <c r="H104" t="str" cm="1">
        <f t="array" ref="H104">_xlfn.IFS(A104&lt;13, "Child", A104&lt;20, "Teenager", A104&lt;40, "Young Adult", A104&lt;60, "Senior Adult", A104&gt;=60, "Elderly")</f>
        <v>Teenager</v>
      </c>
    </row>
    <row r="105" spans="1:8" x14ac:dyDescent="0.25">
      <c r="A105" s="1">
        <v>61</v>
      </c>
      <c r="B105" t="s">
        <v>7</v>
      </c>
      <c r="C105" s="2">
        <v>29.9</v>
      </c>
      <c r="D105" s="1">
        <v>3</v>
      </c>
      <c r="E105" t="s">
        <v>9</v>
      </c>
      <c r="F105" t="s">
        <v>12</v>
      </c>
      <c r="G105" s="3">
        <v>30942.19</v>
      </c>
      <c r="H105" t="str" cm="1">
        <f t="array" ref="H105">_xlfn.IFS(A105&lt;13, "Child", A105&lt;20, "Teenager", A105&lt;40, "Young Adult", A105&lt;60, "Senior Adult", A105&gt;=60, "Elderly")</f>
        <v>Elderly</v>
      </c>
    </row>
    <row r="106" spans="1:8" x14ac:dyDescent="0.25">
      <c r="A106" s="1">
        <v>34</v>
      </c>
      <c r="B106" t="s">
        <v>7</v>
      </c>
      <c r="C106" s="2">
        <v>27.5</v>
      </c>
      <c r="D106" s="1">
        <v>1</v>
      </c>
      <c r="E106" t="s">
        <v>10</v>
      </c>
      <c r="F106" t="s">
        <v>11</v>
      </c>
      <c r="G106" s="3">
        <v>5003.8500000000004</v>
      </c>
      <c r="H106" t="str" cm="1">
        <f t="array" ref="H106">_xlfn.IFS(A106&lt;13, "Child", A106&lt;20, "Teenager", A106&lt;40, "Young Adult", A106&lt;60, "Senior Adult", A106&gt;=60, "Elderly")</f>
        <v>Young Adult</v>
      </c>
    </row>
    <row r="107" spans="1:8" x14ac:dyDescent="0.25">
      <c r="A107" s="1">
        <v>20</v>
      </c>
      <c r="B107" t="s">
        <v>8</v>
      </c>
      <c r="C107" s="2">
        <v>28</v>
      </c>
      <c r="D107" s="1">
        <v>1</v>
      </c>
      <c r="E107" t="s">
        <v>9</v>
      </c>
      <c r="F107" t="s">
        <v>13</v>
      </c>
      <c r="G107" s="3">
        <v>17560.38</v>
      </c>
      <c r="H107" t="str" cm="1">
        <f t="array" ref="H107">_xlfn.IFS(A107&lt;13, "Child", A107&lt;20, "Teenager", A107&lt;40, "Young Adult", A107&lt;60, "Senior Adult", A107&gt;=60, "Elderly")</f>
        <v>Young Adult</v>
      </c>
    </row>
    <row r="108" spans="1:8" x14ac:dyDescent="0.25">
      <c r="A108" s="1">
        <v>19</v>
      </c>
      <c r="B108" t="s">
        <v>7</v>
      </c>
      <c r="C108" s="2">
        <v>28.4</v>
      </c>
      <c r="D108" s="1">
        <v>1</v>
      </c>
      <c r="E108" t="s">
        <v>10</v>
      </c>
      <c r="F108" t="s">
        <v>11</v>
      </c>
      <c r="G108" s="3">
        <v>2331.52</v>
      </c>
      <c r="H108" t="str" cm="1">
        <f t="array" ref="H108">_xlfn.IFS(A108&lt;13, "Child", A108&lt;20, "Teenager", A108&lt;40, "Young Adult", A108&lt;60, "Senior Adult", A108&gt;=60, "Elderly")</f>
        <v>Teenager</v>
      </c>
    </row>
    <row r="109" spans="1:8" x14ac:dyDescent="0.25">
      <c r="A109" s="1">
        <v>26</v>
      </c>
      <c r="B109" t="s">
        <v>8</v>
      </c>
      <c r="C109" s="2">
        <v>30.9</v>
      </c>
      <c r="D109" s="1">
        <v>2</v>
      </c>
      <c r="E109" t="s">
        <v>10</v>
      </c>
      <c r="F109" t="s">
        <v>13</v>
      </c>
      <c r="G109" s="3">
        <v>3877.3</v>
      </c>
      <c r="H109" t="str" cm="1">
        <f t="array" ref="H109">_xlfn.IFS(A109&lt;13, "Child", A109&lt;20, "Teenager", A109&lt;40, "Young Adult", A109&lt;60, "Senior Adult", A109&gt;=60, "Elderly")</f>
        <v>Young Adult</v>
      </c>
    </row>
    <row r="110" spans="1:8" x14ac:dyDescent="0.25">
      <c r="A110" s="1">
        <v>29</v>
      </c>
      <c r="B110" t="s">
        <v>8</v>
      </c>
      <c r="C110" s="2">
        <v>27.9</v>
      </c>
      <c r="D110" s="1">
        <v>0</v>
      </c>
      <c r="E110" t="s">
        <v>10</v>
      </c>
      <c r="F110" t="s">
        <v>12</v>
      </c>
      <c r="G110" s="3">
        <v>2867.12</v>
      </c>
      <c r="H110" t="str" cm="1">
        <f t="array" ref="H110">_xlfn.IFS(A110&lt;13, "Child", A110&lt;20, "Teenager", A110&lt;40, "Young Adult", A110&lt;60, "Senior Adult", A110&gt;=60, "Elderly")</f>
        <v>Young Adult</v>
      </c>
    </row>
    <row r="111" spans="1:8" x14ac:dyDescent="0.25">
      <c r="A111" s="1">
        <v>63</v>
      </c>
      <c r="B111" t="s">
        <v>8</v>
      </c>
      <c r="C111" s="2">
        <v>35.1</v>
      </c>
      <c r="D111" s="1">
        <v>0</v>
      </c>
      <c r="E111" t="s">
        <v>9</v>
      </c>
      <c r="F111" t="s">
        <v>12</v>
      </c>
      <c r="G111" s="3">
        <v>47055.53</v>
      </c>
      <c r="H111" t="str" cm="1">
        <f t="array" ref="H111">_xlfn.IFS(A111&lt;13, "Child", A111&lt;20, "Teenager", A111&lt;40, "Young Adult", A111&lt;60, "Senior Adult", A111&gt;=60, "Elderly")</f>
        <v>Elderly</v>
      </c>
    </row>
    <row r="112" spans="1:8" x14ac:dyDescent="0.25">
      <c r="A112" s="1">
        <v>54</v>
      </c>
      <c r="B112" t="s">
        <v>8</v>
      </c>
      <c r="C112" s="2">
        <v>33.6</v>
      </c>
      <c r="D112" s="1">
        <v>1</v>
      </c>
      <c r="E112" t="s">
        <v>10</v>
      </c>
      <c r="F112" t="s">
        <v>13</v>
      </c>
      <c r="G112" s="3">
        <v>10825.25</v>
      </c>
      <c r="H112" t="str" cm="1">
        <f t="array" ref="H112">_xlfn.IFS(A112&lt;13, "Child", A112&lt;20, "Teenager", A112&lt;40, "Young Adult", A112&lt;60, "Senior Adult", A112&gt;=60, "Elderly")</f>
        <v>Senior Adult</v>
      </c>
    </row>
    <row r="113" spans="1:8" x14ac:dyDescent="0.25">
      <c r="A113" s="1">
        <v>55</v>
      </c>
      <c r="B113" t="s">
        <v>7</v>
      </c>
      <c r="C113" s="2">
        <v>29.7</v>
      </c>
      <c r="D113" s="1">
        <v>2</v>
      </c>
      <c r="E113" t="s">
        <v>10</v>
      </c>
      <c r="F113" t="s">
        <v>11</v>
      </c>
      <c r="G113" s="3">
        <v>11881.36</v>
      </c>
      <c r="H113" t="str" cm="1">
        <f t="array" ref="H113">_xlfn.IFS(A113&lt;13, "Child", A113&lt;20, "Teenager", A113&lt;40, "Young Adult", A113&lt;60, "Senior Adult", A113&gt;=60, "Elderly")</f>
        <v>Senior Adult</v>
      </c>
    </row>
    <row r="114" spans="1:8" x14ac:dyDescent="0.25">
      <c r="A114" s="1">
        <v>37</v>
      </c>
      <c r="B114" t="s">
        <v>8</v>
      </c>
      <c r="C114" s="2">
        <v>30.8</v>
      </c>
      <c r="D114" s="1">
        <v>0</v>
      </c>
      <c r="E114" t="s">
        <v>10</v>
      </c>
      <c r="F114" t="s">
        <v>11</v>
      </c>
      <c r="G114" s="3">
        <v>4646.76</v>
      </c>
      <c r="H114" t="str" cm="1">
        <f t="array" ref="H114">_xlfn.IFS(A114&lt;13, "Child", A114&lt;20, "Teenager", A114&lt;40, "Young Adult", A114&lt;60, "Senior Adult", A114&gt;=60, "Elderly")</f>
        <v>Young Adult</v>
      </c>
    </row>
    <row r="115" spans="1:8" x14ac:dyDescent="0.25">
      <c r="A115" s="1">
        <v>21</v>
      </c>
      <c r="B115" t="s">
        <v>7</v>
      </c>
      <c r="C115" s="2">
        <v>35.700000000000003</v>
      </c>
      <c r="D115" s="1">
        <v>0</v>
      </c>
      <c r="E115" t="s">
        <v>10</v>
      </c>
      <c r="F115" t="s">
        <v>13</v>
      </c>
      <c r="G115" s="3">
        <v>2404.73</v>
      </c>
      <c r="H115" t="str" cm="1">
        <f t="array" ref="H115">_xlfn.IFS(A115&lt;13, "Child", A115&lt;20, "Teenager", A115&lt;40, "Young Adult", A115&lt;60, "Senior Adult", A115&gt;=60, "Elderly")</f>
        <v>Young Adult</v>
      </c>
    </row>
    <row r="116" spans="1:8" x14ac:dyDescent="0.25">
      <c r="A116" s="1">
        <v>52</v>
      </c>
      <c r="B116" t="s">
        <v>8</v>
      </c>
      <c r="C116" s="2">
        <v>32.200000000000003</v>
      </c>
      <c r="D116" s="1">
        <v>3</v>
      </c>
      <c r="E116" t="s">
        <v>10</v>
      </c>
      <c r="F116" t="s">
        <v>14</v>
      </c>
      <c r="G116" s="3">
        <v>11488.32</v>
      </c>
      <c r="H116" t="str" cm="1">
        <f t="array" ref="H116">_xlfn.IFS(A116&lt;13, "Child", A116&lt;20, "Teenager", A116&lt;40, "Young Adult", A116&lt;60, "Senior Adult", A116&gt;=60, "Elderly")</f>
        <v>Senior Adult</v>
      </c>
    </row>
    <row r="117" spans="1:8" x14ac:dyDescent="0.25">
      <c r="A117" s="1">
        <v>60</v>
      </c>
      <c r="B117" t="s">
        <v>8</v>
      </c>
      <c r="C117" s="2">
        <v>28.6</v>
      </c>
      <c r="D117" s="1">
        <v>0</v>
      </c>
      <c r="E117" t="s">
        <v>10</v>
      </c>
      <c r="F117" t="s">
        <v>14</v>
      </c>
      <c r="G117" s="3">
        <v>30260</v>
      </c>
      <c r="H117" t="str" cm="1">
        <f t="array" ref="H117">_xlfn.IFS(A117&lt;13, "Child", A117&lt;20, "Teenager", A117&lt;40, "Young Adult", A117&lt;60, "Senior Adult", A117&gt;=60, "Elderly")</f>
        <v>Elderly</v>
      </c>
    </row>
    <row r="118" spans="1:8" x14ac:dyDescent="0.25">
      <c r="A118" s="1">
        <v>58</v>
      </c>
      <c r="B118" t="s">
        <v>8</v>
      </c>
      <c r="C118" s="2">
        <v>49.1</v>
      </c>
      <c r="D118" s="1">
        <v>0</v>
      </c>
      <c r="E118" t="s">
        <v>10</v>
      </c>
      <c r="F118" t="s">
        <v>12</v>
      </c>
      <c r="G118" s="3">
        <v>11381.33</v>
      </c>
      <c r="H118" t="str" cm="1">
        <f t="array" ref="H118">_xlfn.IFS(A118&lt;13, "Child", A118&lt;20, "Teenager", A118&lt;40, "Young Adult", A118&lt;60, "Senior Adult", A118&gt;=60, "Elderly")</f>
        <v>Senior Adult</v>
      </c>
    </row>
    <row r="119" spans="1:8" x14ac:dyDescent="0.25">
      <c r="A119" s="1">
        <v>29</v>
      </c>
      <c r="B119" t="s">
        <v>7</v>
      </c>
      <c r="C119" s="2">
        <v>27.9</v>
      </c>
      <c r="D119" s="1">
        <v>1</v>
      </c>
      <c r="E119" t="s">
        <v>9</v>
      </c>
      <c r="F119" t="s">
        <v>12</v>
      </c>
      <c r="G119" s="3">
        <v>19107.78</v>
      </c>
      <c r="H119" t="str" cm="1">
        <f t="array" ref="H119">_xlfn.IFS(A119&lt;13, "Child", A119&lt;20, "Teenager", A119&lt;40, "Young Adult", A119&lt;60, "Senior Adult", A119&gt;=60, "Elderly")</f>
        <v>Young Adult</v>
      </c>
    </row>
    <row r="120" spans="1:8" x14ac:dyDescent="0.25">
      <c r="A120" s="1">
        <v>49</v>
      </c>
      <c r="B120" t="s">
        <v>7</v>
      </c>
      <c r="C120" s="2">
        <v>27.2</v>
      </c>
      <c r="D120" s="1">
        <v>0</v>
      </c>
      <c r="E120" t="s">
        <v>10</v>
      </c>
      <c r="F120" t="s">
        <v>12</v>
      </c>
      <c r="G120" s="3">
        <v>8601.33</v>
      </c>
      <c r="H120" t="str" cm="1">
        <f t="array" ref="H120">_xlfn.IFS(A120&lt;13, "Child", A120&lt;20, "Teenager", A120&lt;40, "Young Adult", A120&lt;60, "Senior Adult", A120&gt;=60, "Elderly")</f>
        <v>Senior Adult</v>
      </c>
    </row>
    <row r="121" spans="1:8" x14ac:dyDescent="0.25">
      <c r="A121" s="1">
        <v>37</v>
      </c>
      <c r="B121" t="s">
        <v>7</v>
      </c>
      <c r="C121" s="2">
        <v>23.4</v>
      </c>
      <c r="D121" s="1">
        <v>2</v>
      </c>
      <c r="E121" t="s">
        <v>10</v>
      </c>
      <c r="F121" t="s">
        <v>13</v>
      </c>
      <c r="G121" s="3">
        <v>6686.43</v>
      </c>
      <c r="H121" t="str" cm="1">
        <f t="array" ref="H121">_xlfn.IFS(A121&lt;13, "Child", A121&lt;20, "Teenager", A121&lt;40, "Young Adult", A121&lt;60, "Senior Adult", A121&gt;=60, "Elderly")</f>
        <v>Young Adult</v>
      </c>
    </row>
    <row r="122" spans="1:8" x14ac:dyDescent="0.25">
      <c r="A122" s="1">
        <v>44</v>
      </c>
      <c r="B122" t="s">
        <v>8</v>
      </c>
      <c r="C122" s="2">
        <v>37.1</v>
      </c>
      <c r="D122" s="1">
        <v>2</v>
      </c>
      <c r="E122" t="s">
        <v>10</v>
      </c>
      <c r="F122" t="s">
        <v>11</v>
      </c>
      <c r="G122" s="3">
        <v>7740.34</v>
      </c>
      <c r="H122" t="str" cm="1">
        <f t="array" ref="H122">_xlfn.IFS(A122&lt;13, "Child", A122&lt;20, "Teenager", A122&lt;40, "Young Adult", A122&lt;60, "Senior Adult", A122&gt;=60, "Elderly")</f>
        <v>Senior Adult</v>
      </c>
    </row>
    <row r="123" spans="1:8" x14ac:dyDescent="0.25">
      <c r="A123" s="1">
        <v>18</v>
      </c>
      <c r="B123" t="s">
        <v>8</v>
      </c>
      <c r="C123" s="2">
        <v>23.8</v>
      </c>
      <c r="D123" s="1">
        <v>0</v>
      </c>
      <c r="E123" t="s">
        <v>10</v>
      </c>
      <c r="F123" t="s">
        <v>14</v>
      </c>
      <c r="G123" s="3">
        <v>1705.62</v>
      </c>
      <c r="H123" t="str" cm="1">
        <f t="array" ref="H123">_xlfn.IFS(A123&lt;13, "Child", A123&lt;20, "Teenager", A123&lt;40, "Young Adult", A123&lt;60, "Senior Adult", A123&gt;=60, "Elderly")</f>
        <v>Teenager</v>
      </c>
    </row>
    <row r="124" spans="1:8" x14ac:dyDescent="0.25">
      <c r="A124" s="1">
        <v>20</v>
      </c>
      <c r="B124" t="s">
        <v>7</v>
      </c>
      <c r="C124" s="2">
        <v>29</v>
      </c>
      <c r="D124" s="1">
        <v>0</v>
      </c>
      <c r="E124" t="s">
        <v>10</v>
      </c>
      <c r="F124" t="s">
        <v>13</v>
      </c>
      <c r="G124" s="3">
        <v>2257.48</v>
      </c>
      <c r="H124" t="str" cm="1">
        <f t="array" ref="H124">_xlfn.IFS(A124&lt;13, "Child", A124&lt;20, "Teenager", A124&lt;40, "Young Adult", A124&lt;60, "Senior Adult", A124&gt;=60, "Elderly")</f>
        <v>Young Adult</v>
      </c>
    </row>
    <row r="125" spans="1:8" x14ac:dyDescent="0.25">
      <c r="A125" s="1">
        <v>44</v>
      </c>
      <c r="B125" t="s">
        <v>8</v>
      </c>
      <c r="C125" s="2">
        <v>31.4</v>
      </c>
      <c r="D125" s="1">
        <v>1</v>
      </c>
      <c r="E125" t="s">
        <v>9</v>
      </c>
      <c r="F125" t="s">
        <v>14</v>
      </c>
      <c r="G125" s="3">
        <v>39556.49</v>
      </c>
      <c r="H125" t="str" cm="1">
        <f t="array" ref="H125">_xlfn.IFS(A125&lt;13, "Child", A125&lt;20, "Teenager", A125&lt;40, "Young Adult", A125&lt;60, "Senior Adult", A125&gt;=60, "Elderly")</f>
        <v>Senior Adult</v>
      </c>
    </row>
    <row r="126" spans="1:8" x14ac:dyDescent="0.25">
      <c r="A126" s="1">
        <v>47</v>
      </c>
      <c r="B126" t="s">
        <v>7</v>
      </c>
      <c r="C126" s="2">
        <v>33.9</v>
      </c>
      <c r="D126" s="1">
        <v>3</v>
      </c>
      <c r="E126" t="s">
        <v>10</v>
      </c>
      <c r="F126" t="s">
        <v>13</v>
      </c>
      <c r="G126" s="3">
        <v>10115.01</v>
      </c>
      <c r="H126" t="str" cm="1">
        <f t="array" ref="H126">_xlfn.IFS(A126&lt;13, "Child", A126&lt;20, "Teenager", A126&lt;40, "Young Adult", A126&lt;60, "Senior Adult", A126&gt;=60, "Elderly")</f>
        <v>Senior Adult</v>
      </c>
    </row>
    <row r="127" spans="1:8" x14ac:dyDescent="0.25">
      <c r="A127" s="1">
        <v>26</v>
      </c>
      <c r="B127" t="s">
        <v>7</v>
      </c>
      <c r="C127" s="2">
        <v>28.8</v>
      </c>
      <c r="D127" s="1">
        <v>0</v>
      </c>
      <c r="E127" t="s">
        <v>10</v>
      </c>
      <c r="F127" t="s">
        <v>14</v>
      </c>
      <c r="G127" s="3">
        <v>3385.4</v>
      </c>
      <c r="H127" t="str" cm="1">
        <f t="array" ref="H127">_xlfn.IFS(A127&lt;13, "Child", A127&lt;20, "Teenager", A127&lt;40, "Young Adult", A127&lt;60, "Senior Adult", A127&gt;=60, "Elderly")</f>
        <v>Young Adult</v>
      </c>
    </row>
    <row r="128" spans="1:8" x14ac:dyDescent="0.25">
      <c r="A128" s="1">
        <v>19</v>
      </c>
      <c r="B128" t="s">
        <v>7</v>
      </c>
      <c r="C128" s="2">
        <v>28.3</v>
      </c>
      <c r="D128" s="1">
        <v>0</v>
      </c>
      <c r="E128" t="s">
        <v>9</v>
      </c>
      <c r="F128" t="s">
        <v>11</v>
      </c>
      <c r="G128" s="3">
        <v>17081.080000000002</v>
      </c>
      <c r="H128" t="str" cm="1">
        <f t="array" ref="H128">_xlfn.IFS(A128&lt;13, "Child", A128&lt;20, "Teenager", A128&lt;40, "Young Adult", A128&lt;60, "Senior Adult", A128&gt;=60, "Elderly")</f>
        <v>Teenager</v>
      </c>
    </row>
    <row r="129" spans="1:8" x14ac:dyDescent="0.25">
      <c r="A129" s="1">
        <v>52</v>
      </c>
      <c r="B129" t="s">
        <v>7</v>
      </c>
      <c r="C129" s="2">
        <v>37.4</v>
      </c>
      <c r="D129" s="1">
        <v>0</v>
      </c>
      <c r="E129" t="s">
        <v>10</v>
      </c>
      <c r="F129" t="s">
        <v>11</v>
      </c>
      <c r="G129" s="3">
        <v>9634.5400000000009</v>
      </c>
      <c r="H129" t="str" cm="1">
        <f t="array" ref="H129">_xlfn.IFS(A129&lt;13, "Child", A129&lt;20, "Teenager", A129&lt;40, "Young Adult", A129&lt;60, "Senior Adult", A129&gt;=60, "Elderly")</f>
        <v>Senior Adult</v>
      </c>
    </row>
    <row r="130" spans="1:8" x14ac:dyDescent="0.25">
      <c r="A130" s="1">
        <v>32</v>
      </c>
      <c r="B130" t="s">
        <v>7</v>
      </c>
      <c r="C130" s="2">
        <v>17.8</v>
      </c>
      <c r="D130" s="1">
        <v>2</v>
      </c>
      <c r="E130" t="s">
        <v>9</v>
      </c>
      <c r="F130" t="s">
        <v>13</v>
      </c>
      <c r="G130" s="3">
        <v>32734.19</v>
      </c>
      <c r="H130" t="str" cm="1">
        <f t="array" ref="H130">_xlfn.IFS(A130&lt;13, "Child", A130&lt;20, "Teenager", A130&lt;40, "Young Adult", A130&lt;60, "Senior Adult", A130&gt;=60, "Elderly")</f>
        <v>Young Adult</v>
      </c>
    </row>
    <row r="131" spans="1:8" x14ac:dyDescent="0.25">
      <c r="A131" s="1">
        <v>38</v>
      </c>
      <c r="B131" t="s">
        <v>8</v>
      </c>
      <c r="C131" s="2">
        <v>34.700000000000003</v>
      </c>
      <c r="D131" s="1">
        <v>2</v>
      </c>
      <c r="E131" t="s">
        <v>10</v>
      </c>
      <c r="F131" t="s">
        <v>11</v>
      </c>
      <c r="G131" s="3">
        <v>6082.41</v>
      </c>
      <c r="H131" t="str" cm="1">
        <f t="array" ref="H131">_xlfn.IFS(A131&lt;13, "Child", A131&lt;20, "Teenager", A131&lt;40, "Young Adult", A131&lt;60, "Senior Adult", A131&gt;=60, "Elderly")</f>
        <v>Young Adult</v>
      </c>
    </row>
    <row r="132" spans="1:8" x14ac:dyDescent="0.25">
      <c r="A132" s="1">
        <v>59</v>
      </c>
      <c r="B132" t="s">
        <v>7</v>
      </c>
      <c r="C132" s="2">
        <v>26.5</v>
      </c>
      <c r="D132" s="1">
        <v>0</v>
      </c>
      <c r="E132" t="s">
        <v>10</v>
      </c>
      <c r="F132" t="s">
        <v>14</v>
      </c>
      <c r="G132" s="3">
        <v>12815.44</v>
      </c>
      <c r="H132" t="str" cm="1">
        <f t="array" ref="H132">_xlfn.IFS(A132&lt;13, "Child", A132&lt;20, "Teenager", A132&lt;40, "Young Adult", A132&lt;60, "Senior Adult", A132&gt;=60, "Elderly")</f>
        <v>Senior Adult</v>
      </c>
    </row>
    <row r="133" spans="1:8" x14ac:dyDescent="0.25">
      <c r="A133" s="1">
        <v>61</v>
      </c>
      <c r="B133" t="s">
        <v>7</v>
      </c>
      <c r="C133" s="2">
        <v>22</v>
      </c>
      <c r="D133" s="1">
        <v>0</v>
      </c>
      <c r="E133" t="s">
        <v>10</v>
      </c>
      <c r="F133" t="s">
        <v>14</v>
      </c>
      <c r="G133" s="3">
        <v>13616.36</v>
      </c>
      <c r="H133" t="str" cm="1">
        <f t="array" ref="H133">_xlfn.IFS(A133&lt;13, "Child", A133&lt;20, "Teenager", A133&lt;40, "Young Adult", A133&lt;60, "Senior Adult", A133&gt;=60, "Elderly")</f>
        <v>Elderly</v>
      </c>
    </row>
    <row r="134" spans="1:8" x14ac:dyDescent="0.25">
      <c r="A134" s="1">
        <v>53</v>
      </c>
      <c r="B134" t="s">
        <v>7</v>
      </c>
      <c r="C134" s="2">
        <v>35.9</v>
      </c>
      <c r="D134" s="1">
        <v>2</v>
      </c>
      <c r="E134" t="s">
        <v>10</v>
      </c>
      <c r="F134" t="s">
        <v>11</v>
      </c>
      <c r="G134" s="3">
        <v>11163.57</v>
      </c>
      <c r="H134" t="str" cm="1">
        <f t="array" ref="H134">_xlfn.IFS(A134&lt;13, "Child", A134&lt;20, "Teenager", A134&lt;40, "Young Adult", A134&lt;60, "Senior Adult", A134&gt;=60, "Elderly")</f>
        <v>Senior Adult</v>
      </c>
    </row>
    <row r="135" spans="1:8" x14ac:dyDescent="0.25">
      <c r="A135" s="1">
        <v>19</v>
      </c>
      <c r="B135" t="s">
        <v>8</v>
      </c>
      <c r="C135" s="2">
        <v>25.6</v>
      </c>
      <c r="D135" s="1">
        <v>0</v>
      </c>
      <c r="E135" t="s">
        <v>10</v>
      </c>
      <c r="F135" t="s">
        <v>13</v>
      </c>
      <c r="G135" s="3">
        <v>1632.56</v>
      </c>
      <c r="H135" t="str" cm="1">
        <f t="array" ref="H135">_xlfn.IFS(A135&lt;13, "Child", A135&lt;20, "Teenager", A135&lt;40, "Young Adult", A135&lt;60, "Senior Adult", A135&gt;=60, "Elderly")</f>
        <v>Teenager</v>
      </c>
    </row>
    <row r="136" spans="1:8" x14ac:dyDescent="0.25">
      <c r="A136" s="1">
        <v>20</v>
      </c>
      <c r="B136" t="s">
        <v>7</v>
      </c>
      <c r="C136" s="2">
        <v>28.8</v>
      </c>
      <c r="D136" s="1">
        <v>0</v>
      </c>
      <c r="E136" t="s">
        <v>10</v>
      </c>
      <c r="F136" t="s">
        <v>14</v>
      </c>
      <c r="G136" s="3">
        <v>2457.21</v>
      </c>
      <c r="H136" t="str" cm="1">
        <f t="array" ref="H136">_xlfn.IFS(A136&lt;13, "Child", A136&lt;20, "Teenager", A136&lt;40, "Young Adult", A136&lt;60, "Senior Adult", A136&gt;=60, "Elderly")</f>
        <v>Young Adult</v>
      </c>
    </row>
    <row r="137" spans="1:8" x14ac:dyDescent="0.25">
      <c r="A137" s="1">
        <v>22</v>
      </c>
      <c r="B137" t="s">
        <v>7</v>
      </c>
      <c r="C137" s="2">
        <v>28.1</v>
      </c>
      <c r="D137" s="1">
        <v>0</v>
      </c>
      <c r="E137" t="s">
        <v>10</v>
      </c>
      <c r="F137" t="s">
        <v>12</v>
      </c>
      <c r="G137" s="3">
        <v>2155.6799999999998</v>
      </c>
      <c r="H137" t="str" cm="1">
        <f t="array" ref="H137">_xlfn.IFS(A137&lt;13, "Child", A137&lt;20, "Teenager", A137&lt;40, "Young Adult", A137&lt;60, "Senior Adult", A137&gt;=60, "Elderly")</f>
        <v>Young Adult</v>
      </c>
    </row>
    <row r="138" spans="1:8" x14ac:dyDescent="0.25">
      <c r="A138" s="1">
        <v>19</v>
      </c>
      <c r="B138" t="s">
        <v>8</v>
      </c>
      <c r="C138" s="2">
        <v>34.1</v>
      </c>
      <c r="D138" s="1">
        <v>0</v>
      </c>
      <c r="E138" t="s">
        <v>10</v>
      </c>
      <c r="F138" t="s">
        <v>11</v>
      </c>
      <c r="G138" s="3">
        <v>1261.44</v>
      </c>
      <c r="H138" t="str" cm="1">
        <f t="array" ref="H138">_xlfn.IFS(A138&lt;13, "Child", A138&lt;20, "Teenager", A138&lt;40, "Young Adult", A138&lt;60, "Senior Adult", A138&gt;=60, "Elderly")</f>
        <v>Teenager</v>
      </c>
    </row>
    <row r="139" spans="1:8" x14ac:dyDescent="0.25">
      <c r="A139" s="1">
        <v>22</v>
      </c>
      <c r="B139" t="s">
        <v>8</v>
      </c>
      <c r="C139" s="2">
        <v>25.2</v>
      </c>
      <c r="D139" s="1">
        <v>0</v>
      </c>
      <c r="E139" t="s">
        <v>10</v>
      </c>
      <c r="F139" t="s">
        <v>13</v>
      </c>
      <c r="G139" s="3">
        <v>2045.69</v>
      </c>
      <c r="H139" t="str" cm="1">
        <f t="array" ref="H139">_xlfn.IFS(A139&lt;13, "Child", A139&lt;20, "Teenager", A139&lt;40, "Young Adult", A139&lt;60, "Senior Adult", A139&gt;=60, "Elderly")</f>
        <v>Young Adult</v>
      </c>
    </row>
    <row r="140" spans="1:8" x14ac:dyDescent="0.25">
      <c r="A140" s="1">
        <v>54</v>
      </c>
      <c r="B140" t="s">
        <v>7</v>
      </c>
      <c r="C140" s="2">
        <v>31.9</v>
      </c>
      <c r="D140" s="1">
        <v>3</v>
      </c>
      <c r="E140" t="s">
        <v>10</v>
      </c>
      <c r="F140" t="s">
        <v>12</v>
      </c>
      <c r="G140" s="3">
        <v>27322.73</v>
      </c>
      <c r="H140" t="str" cm="1">
        <f t="array" ref="H140">_xlfn.IFS(A140&lt;13, "Child", A140&lt;20, "Teenager", A140&lt;40, "Young Adult", A140&lt;60, "Senior Adult", A140&gt;=60, "Elderly")</f>
        <v>Senior Adult</v>
      </c>
    </row>
    <row r="141" spans="1:8" x14ac:dyDescent="0.25">
      <c r="A141" s="1">
        <v>22</v>
      </c>
      <c r="B141" t="s">
        <v>7</v>
      </c>
      <c r="C141" s="2">
        <v>36</v>
      </c>
      <c r="D141" s="1">
        <v>0</v>
      </c>
      <c r="E141" t="s">
        <v>10</v>
      </c>
      <c r="F141" t="s">
        <v>11</v>
      </c>
      <c r="G141" s="3">
        <v>2166.73</v>
      </c>
      <c r="H141" t="str" cm="1">
        <f t="array" ref="H141">_xlfn.IFS(A141&lt;13, "Child", A141&lt;20, "Teenager", A141&lt;40, "Young Adult", A141&lt;60, "Senior Adult", A141&gt;=60, "Elderly")</f>
        <v>Young Adult</v>
      </c>
    </row>
    <row r="142" spans="1:8" x14ac:dyDescent="0.25">
      <c r="A142" s="1">
        <v>34</v>
      </c>
      <c r="B142" t="s">
        <v>8</v>
      </c>
      <c r="C142" s="2">
        <v>22.4</v>
      </c>
      <c r="D142" s="1">
        <v>2</v>
      </c>
      <c r="E142" t="s">
        <v>10</v>
      </c>
      <c r="F142" t="s">
        <v>14</v>
      </c>
      <c r="G142" s="3">
        <v>27375.9</v>
      </c>
      <c r="H142" t="str" cm="1">
        <f t="array" ref="H142">_xlfn.IFS(A142&lt;13, "Child", A142&lt;20, "Teenager", A142&lt;40, "Young Adult", A142&lt;60, "Senior Adult", A142&gt;=60, "Elderly")</f>
        <v>Young Adult</v>
      </c>
    </row>
    <row r="143" spans="1:8" x14ac:dyDescent="0.25">
      <c r="A143" s="1">
        <v>26</v>
      </c>
      <c r="B143" t="s">
        <v>8</v>
      </c>
      <c r="C143" s="2">
        <v>32.5</v>
      </c>
      <c r="D143" s="1">
        <v>1</v>
      </c>
      <c r="E143" t="s">
        <v>10</v>
      </c>
      <c r="F143" t="s">
        <v>14</v>
      </c>
      <c r="G143" s="3">
        <v>3490.55</v>
      </c>
      <c r="H143" t="str" cm="1">
        <f t="array" ref="H143">_xlfn.IFS(A143&lt;13, "Child", A143&lt;20, "Teenager", A143&lt;40, "Young Adult", A143&lt;60, "Senior Adult", A143&gt;=60, "Elderly")</f>
        <v>Young Adult</v>
      </c>
    </row>
    <row r="144" spans="1:8" x14ac:dyDescent="0.25">
      <c r="A144" s="1">
        <v>34</v>
      </c>
      <c r="B144" t="s">
        <v>8</v>
      </c>
      <c r="C144" s="2">
        <v>25.3</v>
      </c>
      <c r="D144" s="1">
        <v>2</v>
      </c>
      <c r="E144" t="s">
        <v>9</v>
      </c>
      <c r="F144" t="s">
        <v>12</v>
      </c>
      <c r="G144" s="3">
        <v>18972.5</v>
      </c>
      <c r="H144" t="str" cm="1">
        <f t="array" ref="H144">_xlfn.IFS(A144&lt;13, "Child", A144&lt;20, "Teenager", A144&lt;40, "Young Adult", A144&lt;60, "Senior Adult", A144&gt;=60, "Elderly")</f>
        <v>Young Adult</v>
      </c>
    </row>
    <row r="145" spans="1:8" x14ac:dyDescent="0.25">
      <c r="A145" s="1">
        <v>29</v>
      </c>
      <c r="B145" t="s">
        <v>8</v>
      </c>
      <c r="C145" s="2">
        <v>29.7</v>
      </c>
      <c r="D145" s="1">
        <v>2</v>
      </c>
      <c r="E145" t="s">
        <v>10</v>
      </c>
      <c r="F145" t="s">
        <v>13</v>
      </c>
      <c r="G145" s="3">
        <v>18157.88</v>
      </c>
      <c r="H145" t="str" cm="1">
        <f t="array" ref="H145">_xlfn.IFS(A145&lt;13, "Child", A145&lt;20, "Teenager", A145&lt;40, "Young Adult", A145&lt;60, "Senior Adult", A145&gt;=60, "Elderly")</f>
        <v>Young Adult</v>
      </c>
    </row>
    <row r="146" spans="1:8" x14ac:dyDescent="0.25">
      <c r="A146" s="1">
        <v>30</v>
      </c>
      <c r="B146" t="s">
        <v>8</v>
      </c>
      <c r="C146" s="2">
        <v>28.7</v>
      </c>
      <c r="D146" s="1">
        <v>3</v>
      </c>
      <c r="E146" t="s">
        <v>9</v>
      </c>
      <c r="F146" t="s">
        <v>13</v>
      </c>
      <c r="G146" s="3">
        <v>20745.990000000002</v>
      </c>
      <c r="H146" t="str" cm="1">
        <f t="array" ref="H146">_xlfn.IFS(A146&lt;13, "Child", A146&lt;20, "Teenager", A146&lt;40, "Young Adult", A146&lt;60, "Senior Adult", A146&gt;=60, "Elderly")</f>
        <v>Young Adult</v>
      </c>
    </row>
    <row r="147" spans="1:8" x14ac:dyDescent="0.25">
      <c r="A147" s="1">
        <v>29</v>
      </c>
      <c r="B147" t="s">
        <v>7</v>
      </c>
      <c r="C147" s="2">
        <v>38.799999999999997</v>
      </c>
      <c r="D147" s="1">
        <v>3</v>
      </c>
      <c r="E147" t="s">
        <v>10</v>
      </c>
      <c r="F147" t="s">
        <v>12</v>
      </c>
      <c r="G147" s="3">
        <v>5138.26</v>
      </c>
      <c r="H147" t="str" cm="1">
        <f t="array" ref="H147">_xlfn.IFS(A147&lt;13, "Child", A147&lt;20, "Teenager", A147&lt;40, "Young Adult", A147&lt;60, "Senior Adult", A147&gt;=60, "Elderly")</f>
        <v>Young Adult</v>
      </c>
    </row>
    <row r="148" spans="1:8" x14ac:dyDescent="0.25">
      <c r="A148" s="1">
        <v>46</v>
      </c>
      <c r="B148" t="s">
        <v>8</v>
      </c>
      <c r="C148" s="2">
        <v>30.5</v>
      </c>
      <c r="D148" s="1">
        <v>3</v>
      </c>
      <c r="E148" t="s">
        <v>9</v>
      </c>
      <c r="F148" t="s">
        <v>13</v>
      </c>
      <c r="G148" s="3">
        <v>40720.550000000003</v>
      </c>
      <c r="H148" t="str" cm="1">
        <f t="array" ref="H148">_xlfn.IFS(A148&lt;13, "Child", A148&lt;20, "Teenager", A148&lt;40, "Young Adult", A148&lt;60, "Senior Adult", A148&gt;=60, "Elderly")</f>
        <v>Senior Adult</v>
      </c>
    </row>
    <row r="149" spans="1:8" x14ac:dyDescent="0.25">
      <c r="A149" s="1">
        <v>51</v>
      </c>
      <c r="B149" t="s">
        <v>7</v>
      </c>
      <c r="C149" s="2">
        <v>37.700000000000003</v>
      </c>
      <c r="D149" s="1">
        <v>1</v>
      </c>
      <c r="E149" t="s">
        <v>10</v>
      </c>
      <c r="F149" t="s">
        <v>12</v>
      </c>
      <c r="G149" s="3">
        <v>9877.61</v>
      </c>
      <c r="H149" t="str" cm="1">
        <f t="array" ref="H149">_xlfn.IFS(A149&lt;13, "Child", A149&lt;20, "Teenager", A149&lt;40, "Young Adult", A149&lt;60, "Senior Adult", A149&gt;=60, "Elderly")</f>
        <v>Senior Adult</v>
      </c>
    </row>
    <row r="150" spans="1:8" x14ac:dyDescent="0.25">
      <c r="A150" s="1">
        <v>53</v>
      </c>
      <c r="B150" t="s">
        <v>7</v>
      </c>
      <c r="C150" s="2">
        <v>37.4</v>
      </c>
      <c r="D150" s="1">
        <v>1</v>
      </c>
      <c r="E150" t="s">
        <v>10</v>
      </c>
      <c r="F150" t="s">
        <v>13</v>
      </c>
      <c r="G150" s="3">
        <v>10959.69</v>
      </c>
      <c r="H150" t="str" cm="1">
        <f t="array" ref="H150">_xlfn.IFS(A150&lt;13, "Child", A150&lt;20, "Teenager", A150&lt;40, "Young Adult", A150&lt;60, "Senior Adult", A150&gt;=60, "Elderly")</f>
        <v>Senior Adult</v>
      </c>
    </row>
    <row r="151" spans="1:8" x14ac:dyDescent="0.25">
      <c r="A151" s="1">
        <v>19</v>
      </c>
      <c r="B151" t="s">
        <v>8</v>
      </c>
      <c r="C151" s="2">
        <v>28.4</v>
      </c>
      <c r="D151" s="1">
        <v>1</v>
      </c>
      <c r="E151" t="s">
        <v>10</v>
      </c>
      <c r="F151" t="s">
        <v>11</v>
      </c>
      <c r="G151" s="3">
        <v>1842.52</v>
      </c>
      <c r="H151" t="str" cm="1">
        <f t="array" ref="H151">_xlfn.IFS(A151&lt;13, "Child", A151&lt;20, "Teenager", A151&lt;40, "Young Adult", A151&lt;60, "Senior Adult", A151&gt;=60, "Elderly")</f>
        <v>Teenager</v>
      </c>
    </row>
    <row r="152" spans="1:8" x14ac:dyDescent="0.25">
      <c r="A152" s="1">
        <v>35</v>
      </c>
      <c r="B152" t="s">
        <v>8</v>
      </c>
      <c r="C152" s="2">
        <v>24.1</v>
      </c>
      <c r="D152" s="1">
        <v>1</v>
      </c>
      <c r="E152" t="s">
        <v>10</v>
      </c>
      <c r="F152" t="s">
        <v>13</v>
      </c>
      <c r="G152" s="3">
        <v>5125.22</v>
      </c>
      <c r="H152" t="str" cm="1">
        <f t="array" ref="H152">_xlfn.IFS(A152&lt;13, "Child", A152&lt;20, "Teenager", A152&lt;40, "Young Adult", A152&lt;60, "Senior Adult", A152&gt;=60, "Elderly")</f>
        <v>Young Adult</v>
      </c>
    </row>
    <row r="153" spans="1:8" x14ac:dyDescent="0.25">
      <c r="A153" s="1">
        <v>48</v>
      </c>
      <c r="B153" t="s">
        <v>8</v>
      </c>
      <c r="C153" s="2">
        <v>29.7</v>
      </c>
      <c r="D153" s="1">
        <v>0</v>
      </c>
      <c r="E153" t="s">
        <v>10</v>
      </c>
      <c r="F153" t="s">
        <v>12</v>
      </c>
      <c r="G153" s="3">
        <v>7789.64</v>
      </c>
      <c r="H153" t="str" cm="1">
        <f t="array" ref="H153">_xlfn.IFS(A153&lt;13, "Child", A153&lt;20, "Teenager", A153&lt;40, "Young Adult", A153&lt;60, "Senior Adult", A153&gt;=60, "Elderly")</f>
        <v>Senior Adult</v>
      </c>
    </row>
    <row r="154" spans="1:8" x14ac:dyDescent="0.25">
      <c r="A154" s="1">
        <v>32</v>
      </c>
      <c r="B154" t="s">
        <v>7</v>
      </c>
      <c r="C154" s="2">
        <v>37.1</v>
      </c>
      <c r="D154" s="1">
        <v>3</v>
      </c>
      <c r="E154" t="s">
        <v>10</v>
      </c>
      <c r="F154" t="s">
        <v>14</v>
      </c>
      <c r="G154" s="3">
        <v>6334.34</v>
      </c>
      <c r="H154" t="str" cm="1">
        <f t="array" ref="H154">_xlfn.IFS(A154&lt;13, "Child", A154&lt;20, "Teenager", A154&lt;40, "Young Adult", A154&lt;60, "Senior Adult", A154&gt;=60, "Elderly")</f>
        <v>Young Adult</v>
      </c>
    </row>
    <row r="155" spans="1:8" x14ac:dyDescent="0.25">
      <c r="A155" s="1">
        <v>42</v>
      </c>
      <c r="B155" t="s">
        <v>7</v>
      </c>
      <c r="C155" s="2">
        <v>23.4</v>
      </c>
      <c r="D155" s="1">
        <v>0</v>
      </c>
      <c r="E155" t="s">
        <v>9</v>
      </c>
      <c r="F155" t="s">
        <v>14</v>
      </c>
      <c r="G155" s="3">
        <v>19964.75</v>
      </c>
      <c r="H155" t="str" cm="1">
        <f t="array" ref="H155">_xlfn.IFS(A155&lt;13, "Child", A155&lt;20, "Teenager", A155&lt;40, "Young Adult", A155&lt;60, "Senior Adult", A155&gt;=60, "Elderly")</f>
        <v>Senior Adult</v>
      </c>
    </row>
    <row r="156" spans="1:8" x14ac:dyDescent="0.25">
      <c r="A156" s="1">
        <v>40</v>
      </c>
      <c r="B156" t="s">
        <v>7</v>
      </c>
      <c r="C156" s="2">
        <v>25.5</v>
      </c>
      <c r="D156" s="1">
        <v>1</v>
      </c>
      <c r="E156" t="s">
        <v>10</v>
      </c>
      <c r="F156" t="s">
        <v>14</v>
      </c>
      <c r="G156" s="3">
        <v>7077.19</v>
      </c>
      <c r="H156" t="str" cm="1">
        <f t="array" ref="H156">_xlfn.IFS(A156&lt;13, "Child", A156&lt;20, "Teenager", A156&lt;40, "Young Adult", A156&lt;60, "Senior Adult", A156&gt;=60, "Elderly")</f>
        <v>Senior Adult</v>
      </c>
    </row>
    <row r="157" spans="1:8" x14ac:dyDescent="0.25">
      <c r="A157" s="1">
        <v>44</v>
      </c>
      <c r="B157" t="s">
        <v>8</v>
      </c>
      <c r="C157" s="2">
        <v>39.5</v>
      </c>
      <c r="D157" s="1">
        <v>0</v>
      </c>
      <c r="E157" t="s">
        <v>10</v>
      </c>
      <c r="F157" t="s">
        <v>13</v>
      </c>
      <c r="G157" s="3">
        <v>6948.7</v>
      </c>
      <c r="H157" t="str" cm="1">
        <f t="array" ref="H157">_xlfn.IFS(A157&lt;13, "Child", A157&lt;20, "Teenager", A157&lt;40, "Young Adult", A157&lt;60, "Senior Adult", A157&gt;=60, "Elderly")</f>
        <v>Senior Adult</v>
      </c>
    </row>
    <row r="158" spans="1:8" x14ac:dyDescent="0.25">
      <c r="A158" s="1">
        <v>48</v>
      </c>
      <c r="B158" t="s">
        <v>8</v>
      </c>
      <c r="C158" s="2">
        <v>24.4</v>
      </c>
      <c r="D158" s="1">
        <v>0</v>
      </c>
      <c r="E158" t="s">
        <v>9</v>
      </c>
      <c r="F158" t="s">
        <v>12</v>
      </c>
      <c r="G158" s="3">
        <v>21223.68</v>
      </c>
      <c r="H158" t="str" cm="1">
        <f t="array" ref="H158">_xlfn.IFS(A158&lt;13, "Child", A158&lt;20, "Teenager", A158&lt;40, "Young Adult", A158&lt;60, "Senior Adult", A158&gt;=60, "Elderly")</f>
        <v>Senior Adult</v>
      </c>
    </row>
    <row r="159" spans="1:8" x14ac:dyDescent="0.25">
      <c r="A159" s="1">
        <v>18</v>
      </c>
      <c r="B159" t="s">
        <v>8</v>
      </c>
      <c r="C159" s="2">
        <v>25.2</v>
      </c>
      <c r="D159" s="1">
        <v>0</v>
      </c>
      <c r="E159" t="s">
        <v>9</v>
      </c>
      <c r="F159" t="s">
        <v>14</v>
      </c>
      <c r="G159" s="3">
        <v>15518.18</v>
      </c>
      <c r="H159" t="str" cm="1">
        <f t="array" ref="H159">_xlfn.IFS(A159&lt;13, "Child", A159&lt;20, "Teenager", A159&lt;40, "Young Adult", A159&lt;60, "Senior Adult", A159&gt;=60, "Elderly")</f>
        <v>Teenager</v>
      </c>
    </row>
    <row r="160" spans="1:8" x14ac:dyDescent="0.25">
      <c r="A160" s="1">
        <v>30</v>
      </c>
      <c r="B160" t="s">
        <v>8</v>
      </c>
      <c r="C160" s="2">
        <v>35.5</v>
      </c>
      <c r="D160" s="1">
        <v>0</v>
      </c>
      <c r="E160" t="s">
        <v>9</v>
      </c>
      <c r="F160" t="s">
        <v>12</v>
      </c>
      <c r="G160" s="3">
        <v>36950.26</v>
      </c>
      <c r="H160" t="str" cm="1">
        <f t="array" ref="H160">_xlfn.IFS(A160&lt;13, "Child", A160&lt;20, "Teenager", A160&lt;40, "Young Adult", A160&lt;60, "Senior Adult", A160&gt;=60, "Elderly")</f>
        <v>Young Adult</v>
      </c>
    </row>
    <row r="161" spans="1:8" x14ac:dyDescent="0.25">
      <c r="A161" s="1">
        <v>50</v>
      </c>
      <c r="B161" t="s">
        <v>7</v>
      </c>
      <c r="C161" s="2">
        <v>27.8</v>
      </c>
      <c r="D161" s="1">
        <v>3</v>
      </c>
      <c r="E161" t="s">
        <v>10</v>
      </c>
      <c r="F161" t="s">
        <v>12</v>
      </c>
      <c r="G161" s="3">
        <v>19749.38</v>
      </c>
      <c r="H161" t="str" cm="1">
        <f t="array" ref="H161">_xlfn.IFS(A161&lt;13, "Child", A161&lt;20, "Teenager", A161&lt;40, "Young Adult", A161&lt;60, "Senior Adult", A161&gt;=60, "Elderly")</f>
        <v>Senior Adult</v>
      </c>
    </row>
    <row r="162" spans="1:8" x14ac:dyDescent="0.25">
      <c r="A162" s="1">
        <v>42</v>
      </c>
      <c r="B162" t="s">
        <v>7</v>
      </c>
      <c r="C162" s="2">
        <v>26.6</v>
      </c>
      <c r="D162" s="1">
        <v>0</v>
      </c>
      <c r="E162" t="s">
        <v>9</v>
      </c>
      <c r="F162" t="s">
        <v>13</v>
      </c>
      <c r="G162" s="3">
        <v>21348.71</v>
      </c>
      <c r="H162" t="str" cm="1">
        <f t="array" ref="H162">_xlfn.IFS(A162&lt;13, "Child", A162&lt;20, "Teenager", A162&lt;40, "Young Adult", A162&lt;60, "Senior Adult", A162&gt;=60, "Elderly")</f>
        <v>Senior Adult</v>
      </c>
    </row>
    <row r="163" spans="1:8" x14ac:dyDescent="0.25">
      <c r="A163" s="1">
        <v>18</v>
      </c>
      <c r="B163" t="s">
        <v>7</v>
      </c>
      <c r="C163" s="2">
        <v>36.9</v>
      </c>
      <c r="D163" s="1">
        <v>0</v>
      </c>
      <c r="E163" t="s">
        <v>9</v>
      </c>
      <c r="F163" t="s">
        <v>12</v>
      </c>
      <c r="G163" s="3">
        <v>36149.480000000003</v>
      </c>
      <c r="H163" t="str" cm="1">
        <f t="array" ref="H163">_xlfn.IFS(A163&lt;13, "Child", A163&lt;20, "Teenager", A163&lt;40, "Young Adult", A163&lt;60, "Senior Adult", A163&gt;=60, "Elderly")</f>
        <v>Teenager</v>
      </c>
    </row>
    <row r="164" spans="1:8" x14ac:dyDescent="0.25">
      <c r="A164" s="1">
        <v>54</v>
      </c>
      <c r="B164" t="s">
        <v>8</v>
      </c>
      <c r="C164" s="2">
        <v>39.6</v>
      </c>
      <c r="D164" s="1">
        <v>1</v>
      </c>
      <c r="E164" t="s">
        <v>10</v>
      </c>
      <c r="F164" t="s">
        <v>11</v>
      </c>
      <c r="G164" s="3">
        <v>10450.549999999999</v>
      </c>
      <c r="H164" t="str" cm="1">
        <f t="array" ref="H164">_xlfn.IFS(A164&lt;13, "Child", A164&lt;20, "Teenager", A164&lt;40, "Young Adult", A164&lt;60, "Senior Adult", A164&gt;=60, "Elderly")</f>
        <v>Senior Adult</v>
      </c>
    </row>
    <row r="165" spans="1:8" x14ac:dyDescent="0.25">
      <c r="A165" s="1">
        <v>32</v>
      </c>
      <c r="B165" t="s">
        <v>7</v>
      </c>
      <c r="C165" s="2">
        <v>29.8</v>
      </c>
      <c r="D165" s="1">
        <v>2</v>
      </c>
      <c r="E165" t="s">
        <v>10</v>
      </c>
      <c r="F165" t="s">
        <v>11</v>
      </c>
      <c r="G165" s="3">
        <v>5152.13</v>
      </c>
      <c r="H165" t="str" cm="1">
        <f t="array" ref="H165">_xlfn.IFS(A165&lt;13, "Child", A165&lt;20, "Teenager", A165&lt;40, "Young Adult", A165&lt;60, "Senior Adult", A165&gt;=60, "Elderly")</f>
        <v>Young Adult</v>
      </c>
    </row>
    <row r="166" spans="1:8" x14ac:dyDescent="0.25">
      <c r="A166" s="1">
        <v>37</v>
      </c>
      <c r="B166" t="s">
        <v>8</v>
      </c>
      <c r="C166" s="2">
        <v>29.6</v>
      </c>
      <c r="D166" s="1">
        <v>0</v>
      </c>
      <c r="E166" t="s">
        <v>10</v>
      </c>
      <c r="F166" t="s">
        <v>13</v>
      </c>
      <c r="G166" s="3">
        <v>5028.1499999999996</v>
      </c>
      <c r="H166" t="str" cm="1">
        <f t="array" ref="H166">_xlfn.IFS(A166&lt;13, "Child", A166&lt;20, "Teenager", A166&lt;40, "Young Adult", A166&lt;60, "Senior Adult", A166&gt;=60, "Elderly")</f>
        <v>Young Adult</v>
      </c>
    </row>
    <row r="167" spans="1:8" x14ac:dyDescent="0.25">
      <c r="A167" s="1">
        <v>47</v>
      </c>
      <c r="B167" t="s">
        <v>8</v>
      </c>
      <c r="C167" s="2">
        <v>28.2</v>
      </c>
      <c r="D167" s="1">
        <v>4</v>
      </c>
      <c r="E167" t="s">
        <v>10</v>
      </c>
      <c r="F167" t="s">
        <v>14</v>
      </c>
      <c r="G167" s="3">
        <v>10407.09</v>
      </c>
      <c r="H167" t="str" cm="1">
        <f t="array" ref="H167">_xlfn.IFS(A167&lt;13, "Child", A167&lt;20, "Teenager", A167&lt;40, "Young Adult", A167&lt;60, "Senior Adult", A167&gt;=60, "Elderly")</f>
        <v>Senior Adult</v>
      </c>
    </row>
    <row r="168" spans="1:8" x14ac:dyDescent="0.25">
      <c r="A168" s="1">
        <v>20</v>
      </c>
      <c r="B168" t="s">
        <v>7</v>
      </c>
      <c r="C168" s="2">
        <v>37</v>
      </c>
      <c r="D168" s="1">
        <v>5</v>
      </c>
      <c r="E168" t="s">
        <v>10</v>
      </c>
      <c r="F168" t="s">
        <v>11</v>
      </c>
      <c r="G168" s="3">
        <v>4830.63</v>
      </c>
      <c r="H168" t="str" cm="1">
        <f t="array" ref="H168">_xlfn.IFS(A168&lt;13, "Child", A168&lt;20, "Teenager", A168&lt;40, "Young Adult", A168&lt;60, "Senior Adult", A168&gt;=60, "Elderly")</f>
        <v>Young Adult</v>
      </c>
    </row>
    <row r="169" spans="1:8" x14ac:dyDescent="0.25">
      <c r="A169" s="1">
        <v>32</v>
      </c>
      <c r="B169" t="s">
        <v>7</v>
      </c>
      <c r="C169" s="2">
        <v>33.200000000000003</v>
      </c>
      <c r="D169" s="1">
        <v>3</v>
      </c>
      <c r="E169" t="s">
        <v>10</v>
      </c>
      <c r="F169" t="s">
        <v>13</v>
      </c>
      <c r="G169" s="3">
        <v>6128.8</v>
      </c>
      <c r="H169" t="str" cm="1">
        <f t="array" ref="H169">_xlfn.IFS(A169&lt;13, "Child", A169&lt;20, "Teenager", A169&lt;40, "Young Adult", A169&lt;60, "Senior Adult", A169&gt;=60, "Elderly")</f>
        <v>Young Adult</v>
      </c>
    </row>
    <row r="170" spans="1:8" x14ac:dyDescent="0.25">
      <c r="A170" s="1">
        <v>19</v>
      </c>
      <c r="B170" t="s">
        <v>7</v>
      </c>
      <c r="C170" s="2">
        <v>31.8</v>
      </c>
      <c r="D170" s="1">
        <v>1</v>
      </c>
      <c r="E170" t="s">
        <v>10</v>
      </c>
      <c r="F170" t="s">
        <v>13</v>
      </c>
      <c r="G170" s="3">
        <v>2719.28</v>
      </c>
      <c r="H170" t="str" cm="1">
        <f t="array" ref="H170">_xlfn.IFS(A170&lt;13, "Child", A170&lt;20, "Teenager", A170&lt;40, "Young Adult", A170&lt;60, "Senior Adult", A170&gt;=60, "Elderly")</f>
        <v>Teenager</v>
      </c>
    </row>
    <row r="171" spans="1:8" x14ac:dyDescent="0.25">
      <c r="A171" s="1">
        <v>27</v>
      </c>
      <c r="B171" t="s">
        <v>8</v>
      </c>
      <c r="C171" s="2">
        <v>18.899999999999999</v>
      </c>
      <c r="D171" s="1">
        <v>3</v>
      </c>
      <c r="E171" t="s">
        <v>10</v>
      </c>
      <c r="F171" t="s">
        <v>14</v>
      </c>
      <c r="G171" s="3">
        <v>4827.8999999999996</v>
      </c>
      <c r="H171" t="str" cm="1">
        <f t="array" ref="H171">_xlfn.IFS(A171&lt;13, "Child", A171&lt;20, "Teenager", A171&lt;40, "Young Adult", A171&lt;60, "Senior Adult", A171&gt;=60, "Elderly")</f>
        <v>Young Adult</v>
      </c>
    </row>
    <row r="172" spans="1:8" x14ac:dyDescent="0.25">
      <c r="A172" s="1">
        <v>63</v>
      </c>
      <c r="B172" t="s">
        <v>8</v>
      </c>
      <c r="C172" s="2">
        <v>41.5</v>
      </c>
      <c r="D172" s="1">
        <v>0</v>
      </c>
      <c r="E172" t="s">
        <v>10</v>
      </c>
      <c r="F172" t="s">
        <v>12</v>
      </c>
      <c r="G172" s="3">
        <v>13405.39</v>
      </c>
      <c r="H172" t="str" cm="1">
        <f t="array" ref="H172">_xlfn.IFS(A172&lt;13, "Child", A172&lt;20, "Teenager", A172&lt;40, "Young Adult", A172&lt;60, "Senior Adult", A172&gt;=60, "Elderly")</f>
        <v>Elderly</v>
      </c>
    </row>
    <row r="173" spans="1:8" x14ac:dyDescent="0.25">
      <c r="A173" s="1">
        <v>49</v>
      </c>
      <c r="B173" t="s">
        <v>8</v>
      </c>
      <c r="C173" s="2">
        <v>30.3</v>
      </c>
      <c r="D173" s="1">
        <v>0</v>
      </c>
      <c r="E173" t="s">
        <v>10</v>
      </c>
      <c r="F173" t="s">
        <v>11</v>
      </c>
      <c r="G173" s="3">
        <v>8116.68</v>
      </c>
      <c r="H173" t="str" cm="1">
        <f t="array" ref="H173">_xlfn.IFS(A173&lt;13, "Child", A173&lt;20, "Teenager", A173&lt;40, "Young Adult", A173&lt;60, "Senior Adult", A173&gt;=60, "Elderly")</f>
        <v>Senior Adult</v>
      </c>
    </row>
    <row r="174" spans="1:8" x14ac:dyDescent="0.25">
      <c r="A174" s="1">
        <v>18</v>
      </c>
      <c r="B174" t="s">
        <v>8</v>
      </c>
      <c r="C174" s="2">
        <v>16</v>
      </c>
      <c r="D174" s="1">
        <v>0</v>
      </c>
      <c r="E174" t="s">
        <v>10</v>
      </c>
      <c r="F174" t="s">
        <v>14</v>
      </c>
      <c r="G174" s="3">
        <v>1694.8</v>
      </c>
      <c r="H174" t="str" cm="1">
        <f t="array" ref="H174">_xlfn.IFS(A174&lt;13, "Child", A174&lt;20, "Teenager", A174&lt;40, "Young Adult", A174&lt;60, "Senior Adult", A174&gt;=60, "Elderly")</f>
        <v>Teenager</v>
      </c>
    </row>
    <row r="175" spans="1:8" x14ac:dyDescent="0.25">
      <c r="A175" s="1">
        <v>35</v>
      </c>
      <c r="B175" t="s">
        <v>7</v>
      </c>
      <c r="C175" s="2">
        <v>34.799999999999997</v>
      </c>
      <c r="D175" s="1">
        <v>1</v>
      </c>
      <c r="E175" t="s">
        <v>10</v>
      </c>
      <c r="F175" t="s">
        <v>11</v>
      </c>
      <c r="G175" s="3">
        <v>5246.05</v>
      </c>
      <c r="H175" t="str" cm="1">
        <f t="array" ref="H175">_xlfn.IFS(A175&lt;13, "Child", A175&lt;20, "Teenager", A175&lt;40, "Young Adult", A175&lt;60, "Senior Adult", A175&gt;=60, "Elderly")</f>
        <v>Young Adult</v>
      </c>
    </row>
    <row r="176" spans="1:8" x14ac:dyDescent="0.25">
      <c r="A176" s="1">
        <v>24</v>
      </c>
      <c r="B176" t="s">
        <v>7</v>
      </c>
      <c r="C176" s="2">
        <v>33.299999999999997</v>
      </c>
      <c r="D176" s="1">
        <v>0</v>
      </c>
      <c r="E176" t="s">
        <v>10</v>
      </c>
      <c r="F176" t="s">
        <v>13</v>
      </c>
      <c r="G176" s="3">
        <v>2855.44</v>
      </c>
      <c r="H176" t="str" cm="1">
        <f t="array" ref="H176">_xlfn.IFS(A176&lt;13, "Child", A176&lt;20, "Teenager", A176&lt;40, "Young Adult", A176&lt;60, "Senior Adult", A176&gt;=60, "Elderly")</f>
        <v>Young Adult</v>
      </c>
    </row>
    <row r="177" spans="1:8" x14ac:dyDescent="0.25">
      <c r="A177" s="1">
        <v>63</v>
      </c>
      <c r="B177" t="s">
        <v>7</v>
      </c>
      <c r="C177" s="2">
        <v>37.700000000000003</v>
      </c>
      <c r="D177" s="1">
        <v>0</v>
      </c>
      <c r="E177" t="s">
        <v>9</v>
      </c>
      <c r="F177" t="s">
        <v>11</v>
      </c>
      <c r="G177" s="3">
        <v>48824.45</v>
      </c>
      <c r="H177" t="str" cm="1">
        <f t="array" ref="H177">_xlfn.IFS(A177&lt;13, "Child", A177&lt;20, "Teenager", A177&lt;40, "Young Adult", A177&lt;60, "Senior Adult", A177&gt;=60, "Elderly")</f>
        <v>Elderly</v>
      </c>
    </row>
    <row r="178" spans="1:8" x14ac:dyDescent="0.25">
      <c r="A178" s="1">
        <v>38</v>
      </c>
      <c r="B178" t="s">
        <v>8</v>
      </c>
      <c r="C178" s="2">
        <v>27.8</v>
      </c>
      <c r="D178" s="1">
        <v>2</v>
      </c>
      <c r="E178" t="s">
        <v>10</v>
      </c>
      <c r="F178" t="s">
        <v>13</v>
      </c>
      <c r="G178" s="3">
        <v>6455.86</v>
      </c>
      <c r="H178" t="str" cm="1">
        <f t="array" ref="H178">_xlfn.IFS(A178&lt;13, "Child", A178&lt;20, "Teenager", A178&lt;40, "Young Adult", A178&lt;60, "Senior Adult", A178&gt;=60, "Elderly")</f>
        <v>Young Adult</v>
      </c>
    </row>
    <row r="179" spans="1:8" x14ac:dyDescent="0.25">
      <c r="A179" s="1">
        <v>54</v>
      </c>
      <c r="B179" t="s">
        <v>8</v>
      </c>
      <c r="C179" s="2">
        <v>29.2</v>
      </c>
      <c r="D179" s="1">
        <v>1</v>
      </c>
      <c r="E179" t="s">
        <v>10</v>
      </c>
      <c r="F179" t="s">
        <v>11</v>
      </c>
      <c r="G179" s="3">
        <v>10436.1</v>
      </c>
      <c r="H179" t="str" cm="1">
        <f t="array" ref="H179">_xlfn.IFS(A179&lt;13, "Child", A179&lt;20, "Teenager", A179&lt;40, "Young Adult", A179&lt;60, "Senior Adult", A179&gt;=60, "Elderly")</f>
        <v>Senior Adult</v>
      </c>
    </row>
    <row r="180" spans="1:8" x14ac:dyDescent="0.25">
      <c r="A180" s="1">
        <v>46</v>
      </c>
      <c r="B180" t="s">
        <v>7</v>
      </c>
      <c r="C180" s="2">
        <v>28.9</v>
      </c>
      <c r="D180" s="1">
        <v>2</v>
      </c>
      <c r="E180" t="s">
        <v>10</v>
      </c>
      <c r="F180" t="s">
        <v>11</v>
      </c>
      <c r="G180" s="3">
        <v>8823.2800000000007</v>
      </c>
      <c r="H180" t="str" cm="1">
        <f t="array" ref="H180">_xlfn.IFS(A180&lt;13, "Child", A180&lt;20, "Teenager", A180&lt;40, "Young Adult", A180&lt;60, "Senior Adult", A180&gt;=60, "Elderly")</f>
        <v>Senior Adult</v>
      </c>
    </row>
    <row r="181" spans="1:8" x14ac:dyDescent="0.25">
      <c r="A181" s="1">
        <v>41</v>
      </c>
      <c r="B181" t="s">
        <v>7</v>
      </c>
      <c r="C181" s="2">
        <v>33.200000000000003</v>
      </c>
      <c r="D181" s="1">
        <v>3</v>
      </c>
      <c r="E181" t="s">
        <v>10</v>
      </c>
      <c r="F181" t="s">
        <v>14</v>
      </c>
      <c r="G181" s="3">
        <v>8538.2900000000009</v>
      </c>
      <c r="H181" t="str" cm="1">
        <f t="array" ref="H181">_xlfn.IFS(A181&lt;13, "Child", A181&lt;20, "Teenager", A181&lt;40, "Young Adult", A181&lt;60, "Senior Adult", A181&gt;=60, "Elderly")</f>
        <v>Senior Adult</v>
      </c>
    </row>
    <row r="182" spans="1:8" x14ac:dyDescent="0.25">
      <c r="A182" s="1">
        <v>58</v>
      </c>
      <c r="B182" t="s">
        <v>8</v>
      </c>
      <c r="C182" s="2">
        <v>28.6</v>
      </c>
      <c r="D182" s="1">
        <v>0</v>
      </c>
      <c r="E182" t="s">
        <v>10</v>
      </c>
      <c r="F182" t="s">
        <v>13</v>
      </c>
      <c r="G182" s="3">
        <v>11735.88</v>
      </c>
      <c r="H182" t="str" cm="1">
        <f t="array" ref="H182">_xlfn.IFS(A182&lt;13, "Child", A182&lt;20, "Teenager", A182&lt;40, "Young Adult", A182&lt;60, "Senior Adult", A182&gt;=60, "Elderly")</f>
        <v>Senior Adult</v>
      </c>
    </row>
    <row r="183" spans="1:8" x14ac:dyDescent="0.25">
      <c r="A183" s="1">
        <v>18</v>
      </c>
      <c r="B183" t="s">
        <v>7</v>
      </c>
      <c r="C183" s="2">
        <v>38.299999999999997</v>
      </c>
      <c r="D183" s="1">
        <v>0</v>
      </c>
      <c r="E183" t="s">
        <v>10</v>
      </c>
      <c r="F183" t="s">
        <v>12</v>
      </c>
      <c r="G183" s="3">
        <v>1631.82</v>
      </c>
      <c r="H183" t="str" cm="1">
        <f t="array" ref="H183">_xlfn.IFS(A183&lt;13, "Child", A183&lt;20, "Teenager", A183&lt;40, "Young Adult", A183&lt;60, "Senior Adult", A183&gt;=60, "Elderly")</f>
        <v>Teenager</v>
      </c>
    </row>
    <row r="184" spans="1:8" x14ac:dyDescent="0.25">
      <c r="A184" s="1">
        <v>22</v>
      </c>
      <c r="B184" t="s">
        <v>8</v>
      </c>
      <c r="C184" s="2">
        <v>20</v>
      </c>
      <c r="D184" s="1">
        <v>3</v>
      </c>
      <c r="E184" t="s">
        <v>10</v>
      </c>
      <c r="F184" t="s">
        <v>14</v>
      </c>
      <c r="G184" s="3">
        <v>4005.42</v>
      </c>
      <c r="H184" t="str" cm="1">
        <f t="array" ref="H184">_xlfn.IFS(A184&lt;13, "Child", A184&lt;20, "Teenager", A184&lt;40, "Young Adult", A184&lt;60, "Senior Adult", A184&gt;=60, "Elderly")</f>
        <v>Young Adult</v>
      </c>
    </row>
    <row r="185" spans="1:8" x14ac:dyDescent="0.25">
      <c r="A185" s="1">
        <v>44</v>
      </c>
      <c r="B185" t="s">
        <v>7</v>
      </c>
      <c r="C185" s="2">
        <v>26.4</v>
      </c>
      <c r="D185" s="1">
        <v>0</v>
      </c>
      <c r="E185" t="s">
        <v>10</v>
      </c>
      <c r="F185" t="s">
        <v>13</v>
      </c>
      <c r="G185" s="3">
        <v>7419.48</v>
      </c>
      <c r="H185" t="str" cm="1">
        <f t="array" ref="H185">_xlfn.IFS(A185&lt;13, "Child", A185&lt;20, "Teenager", A185&lt;40, "Young Adult", A185&lt;60, "Senior Adult", A185&gt;=60, "Elderly")</f>
        <v>Senior Adult</v>
      </c>
    </row>
    <row r="186" spans="1:8" x14ac:dyDescent="0.25">
      <c r="A186" s="1">
        <v>44</v>
      </c>
      <c r="B186" t="s">
        <v>8</v>
      </c>
      <c r="C186" s="2">
        <v>30.7</v>
      </c>
      <c r="D186" s="1">
        <v>2</v>
      </c>
      <c r="E186" t="s">
        <v>10</v>
      </c>
      <c r="F186" t="s">
        <v>12</v>
      </c>
      <c r="G186" s="3">
        <v>7731.43</v>
      </c>
      <c r="H186" t="str" cm="1">
        <f t="array" ref="H186">_xlfn.IFS(A186&lt;13, "Child", A186&lt;20, "Teenager", A186&lt;40, "Young Adult", A186&lt;60, "Senior Adult", A186&gt;=60, "Elderly")</f>
        <v>Senior Adult</v>
      </c>
    </row>
    <row r="187" spans="1:8" x14ac:dyDescent="0.25">
      <c r="A187" s="1">
        <v>36</v>
      </c>
      <c r="B187" t="s">
        <v>8</v>
      </c>
      <c r="C187" s="2">
        <v>41.9</v>
      </c>
      <c r="D187" s="1">
        <v>3</v>
      </c>
      <c r="E187" t="s">
        <v>9</v>
      </c>
      <c r="F187" t="s">
        <v>14</v>
      </c>
      <c r="G187" s="3">
        <v>43753.34</v>
      </c>
      <c r="H187" t="str" cm="1">
        <f t="array" ref="H187">_xlfn.IFS(A187&lt;13, "Child", A187&lt;20, "Teenager", A187&lt;40, "Young Adult", A187&lt;60, "Senior Adult", A187&gt;=60, "Elderly")</f>
        <v>Young Adult</v>
      </c>
    </row>
    <row r="188" spans="1:8" x14ac:dyDescent="0.25">
      <c r="A188" s="1">
        <v>26</v>
      </c>
      <c r="B188" t="s">
        <v>7</v>
      </c>
      <c r="C188" s="2">
        <v>29.9</v>
      </c>
      <c r="D188" s="1">
        <v>2</v>
      </c>
      <c r="E188" t="s">
        <v>10</v>
      </c>
      <c r="F188" t="s">
        <v>12</v>
      </c>
      <c r="G188" s="3">
        <v>3981.98</v>
      </c>
      <c r="H188" t="str" cm="1">
        <f t="array" ref="H188">_xlfn.IFS(A188&lt;13, "Child", A188&lt;20, "Teenager", A188&lt;40, "Young Adult", A188&lt;60, "Senior Adult", A188&gt;=60, "Elderly")</f>
        <v>Young Adult</v>
      </c>
    </row>
    <row r="189" spans="1:8" x14ac:dyDescent="0.25">
      <c r="A189" s="1">
        <v>30</v>
      </c>
      <c r="B189" t="s">
        <v>7</v>
      </c>
      <c r="C189" s="2">
        <v>30.9</v>
      </c>
      <c r="D189" s="1">
        <v>3</v>
      </c>
      <c r="E189" t="s">
        <v>10</v>
      </c>
      <c r="F189" t="s">
        <v>11</v>
      </c>
      <c r="G189" s="3">
        <v>5325.65</v>
      </c>
      <c r="H189" t="str" cm="1">
        <f t="array" ref="H189">_xlfn.IFS(A189&lt;13, "Child", A189&lt;20, "Teenager", A189&lt;40, "Young Adult", A189&lt;60, "Senior Adult", A189&gt;=60, "Elderly")</f>
        <v>Young Adult</v>
      </c>
    </row>
    <row r="190" spans="1:8" x14ac:dyDescent="0.25">
      <c r="A190" s="1">
        <v>41</v>
      </c>
      <c r="B190" t="s">
        <v>7</v>
      </c>
      <c r="C190" s="2">
        <v>32.200000000000003</v>
      </c>
      <c r="D190" s="1">
        <v>1</v>
      </c>
      <c r="E190" t="s">
        <v>10</v>
      </c>
      <c r="F190" t="s">
        <v>11</v>
      </c>
      <c r="G190" s="3">
        <v>6775.96</v>
      </c>
      <c r="H190" t="str" cm="1">
        <f t="array" ref="H190">_xlfn.IFS(A190&lt;13, "Child", A190&lt;20, "Teenager", A190&lt;40, "Young Adult", A190&lt;60, "Senior Adult", A190&gt;=60, "Elderly")</f>
        <v>Senior Adult</v>
      </c>
    </row>
    <row r="191" spans="1:8" x14ac:dyDescent="0.25">
      <c r="A191" s="1">
        <v>29</v>
      </c>
      <c r="B191" t="s">
        <v>7</v>
      </c>
      <c r="C191" s="2">
        <v>32.1</v>
      </c>
      <c r="D191" s="1">
        <v>2</v>
      </c>
      <c r="E191" t="s">
        <v>10</v>
      </c>
      <c r="F191" t="s">
        <v>13</v>
      </c>
      <c r="G191" s="3">
        <v>4922.92</v>
      </c>
      <c r="H191" t="str" cm="1">
        <f t="array" ref="H191">_xlfn.IFS(A191&lt;13, "Child", A191&lt;20, "Teenager", A191&lt;40, "Young Adult", A191&lt;60, "Senior Adult", A191&gt;=60, "Elderly")</f>
        <v>Young Adult</v>
      </c>
    </row>
    <row r="192" spans="1:8" x14ac:dyDescent="0.25">
      <c r="A192" s="1">
        <v>61</v>
      </c>
      <c r="B192" t="s">
        <v>8</v>
      </c>
      <c r="C192" s="2">
        <v>31.6</v>
      </c>
      <c r="D192" s="1">
        <v>0</v>
      </c>
      <c r="E192" t="s">
        <v>10</v>
      </c>
      <c r="F192" t="s">
        <v>12</v>
      </c>
      <c r="G192" s="3">
        <v>12557.61</v>
      </c>
      <c r="H192" t="str" cm="1">
        <f t="array" ref="H192">_xlfn.IFS(A192&lt;13, "Child", A192&lt;20, "Teenager", A192&lt;40, "Young Adult", A192&lt;60, "Senior Adult", A192&gt;=60, "Elderly")</f>
        <v>Elderly</v>
      </c>
    </row>
    <row r="193" spans="1:8" x14ac:dyDescent="0.25">
      <c r="A193" s="1">
        <v>36</v>
      </c>
      <c r="B193" t="s">
        <v>7</v>
      </c>
      <c r="C193" s="2">
        <v>26.2</v>
      </c>
      <c r="D193" s="1">
        <v>0</v>
      </c>
      <c r="E193" t="s">
        <v>10</v>
      </c>
      <c r="F193" t="s">
        <v>11</v>
      </c>
      <c r="G193" s="3">
        <v>4883.87</v>
      </c>
      <c r="H193" t="str" cm="1">
        <f t="array" ref="H193">_xlfn.IFS(A193&lt;13, "Child", A193&lt;20, "Teenager", A193&lt;40, "Young Adult", A193&lt;60, "Senior Adult", A193&gt;=60, "Elderly")</f>
        <v>Young Adult</v>
      </c>
    </row>
    <row r="194" spans="1:8" x14ac:dyDescent="0.25">
      <c r="A194" s="1">
        <v>25</v>
      </c>
      <c r="B194" t="s">
        <v>8</v>
      </c>
      <c r="C194" s="2">
        <v>25.7</v>
      </c>
      <c r="D194" s="1">
        <v>0</v>
      </c>
      <c r="E194" t="s">
        <v>10</v>
      </c>
      <c r="F194" t="s">
        <v>12</v>
      </c>
      <c r="G194" s="3">
        <v>2137.65</v>
      </c>
      <c r="H194" t="str" cm="1">
        <f t="array" ref="H194">_xlfn.IFS(A194&lt;13, "Child", A194&lt;20, "Teenager", A194&lt;40, "Young Adult", A194&lt;60, "Senior Adult", A194&gt;=60, "Elderly")</f>
        <v>Young Adult</v>
      </c>
    </row>
    <row r="195" spans="1:8" x14ac:dyDescent="0.25">
      <c r="A195" s="1">
        <v>56</v>
      </c>
      <c r="B195" t="s">
        <v>7</v>
      </c>
      <c r="C195" s="2">
        <v>26.6</v>
      </c>
      <c r="D195" s="1">
        <v>1</v>
      </c>
      <c r="E195" t="s">
        <v>10</v>
      </c>
      <c r="F195" t="s">
        <v>13</v>
      </c>
      <c r="G195" s="3">
        <v>12044.34</v>
      </c>
      <c r="H195" t="str" cm="1">
        <f t="array" ref="H195">_xlfn.IFS(A195&lt;13, "Child", A195&lt;20, "Teenager", A195&lt;40, "Young Adult", A195&lt;60, "Senior Adult", A195&gt;=60, "Elderly")</f>
        <v>Senior Adult</v>
      </c>
    </row>
    <row r="196" spans="1:8" x14ac:dyDescent="0.25">
      <c r="A196" s="1">
        <v>18</v>
      </c>
      <c r="B196" t="s">
        <v>8</v>
      </c>
      <c r="C196" s="2">
        <v>34.4</v>
      </c>
      <c r="D196" s="1">
        <v>0</v>
      </c>
      <c r="E196" t="s">
        <v>10</v>
      </c>
      <c r="F196" t="s">
        <v>12</v>
      </c>
      <c r="G196" s="3">
        <v>1137.47</v>
      </c>
      <c r="H196" t="str" cm="1">
        <f t="array" ref="H196">_xlfn.IFS(A196&lt;13, "Child", A196&lt;20, "Teenager", A196&lt;40, "Young Adult", A196&lt;60, "Senior Adult", A196&gt;=60, "Elderly")</f>
        <v>Teenager</v>
      </c>
    </row>
    <row r="197" spans="1:8" x14ac:dyDescent="0.25">
      <c r="A197" s="1">
        <v>19</v>
      </c>
      <c r="B197" t="s">
        <v>8</v>
      </c>
      <c r="C197" s="2">
        <v>30.6</v>
      </c>
      <c r="D197" s="1">
        <v>0</v>
      </c>
      <c r="E197" t="s">
        <v>10</v>
      </c>
      <c r="F197" t="s">
        <v>13</v>
      </c>
      <c r="G197" s="3">
        <v>1639.56</v>
      </c>
      <c r="H197" t="str" cm="1">
        <f t="array" ref="H197">_xlfn.IFS(A197&lt;13, "Child", A197&lt;20, "Teenager", A197&lt;40, "Young Adult", A197&lt;60, "Senior Adult", A197&gt;=60, "Elderly")</f>
        <v>Teenager</v>
      </c>
    </row>
    <row r="198" spans="1:8" x14ac:dyDescent="0.25">
      <c r="A198" s="1">
        <v>39</v>
      </c>
      <c r="B198" t="s">
        <v>7</v>
      </c>
      <c r="C198" s="2">
        <v>32.799999999999997</v>
      </c>
      <c r="D198" s="1">
        <v>0</v>
      </c>
      <c r="E198" t="s">
        <v>10</v>
      </c>
      <c r="F198" t="s">
        <v>11</v>
      </c>
      <c r="G198" s="3">
        <v>5649.72</v>
      </c>
      <c r="H198" t="str" cm="1">
        <f t="array" ref="H198">_xlfn.IFS(A198&lt;13, "Child", A198&lt;20, "Teenager", A198&lt;40, "Young Adult", A198&lt;60, "Senior Adult", A198&gt;=60, "Elderly")</f>
        <v>Young Adult</v>
      </c>
    </row>
    <row r="199" spans="1:8" x14ac:dyDescent="0.25">
      <c r="A199" s="1">
        <v>45</v>
      </c>
      <c r="B199" t="s">
        <v>7</v>
      </c>
      <c r="C199" s="2">
        <v>28.6</v>
      </c>
      <c r="D199" s="1">
        <v>2</v>
      </c>
      <c r="E199" t="s">
        <v>10</v>
      </c>
      <c r="F199" t="s">
        <v>12</v>
      </c>
      <c r="G199" s="3">
        <v>8516.83</v>
      </c>
      <c r="H199" t="str" cm="1">
        <f t="array" ref="H199">_xlfn.IFS(A199&lt;13, "Child", A199&lt;20, "Teenager", A199&lt;40, "Young Adult", A199&lt;60, "Senior Adult", A199&gt;=60, "Elderly")</f>
        <v>Senior Adult</v>
      </c>
    </row>
    <row r="200" spans="1:8" x14ac:dyDescent="0.25">
      <c r="A200" s="1">
        <v>51</v>
      </c>
      <c r="B200" t="s">
        <v>7</v>
      </c>
      <c r="C200" s="2">
        <v>18.100000000000001</v>
      </c>
      <c r="D200" s="1">
        <v>0</v>
      </c>
      <c r="E200" t="s">
        <v>10</v>
      </c>
      <c r="F200" t="s">
        <v>13</v>
      </c>
      <c r="G200" s="3">
        <v>9644.25</v>
      </c>
      <c r="H200" t="str" cm="1">
        <f t="array" ref="H200">_xlfn.IFS(A200&lt;13, "Child", A200&lt;20, "Teenager", A200&lt;40, "Young Adult", A200&lt;60, "Senior Adult", A200&gt;=60, "Elderly")</f>
        <v>Senior Adult</v>
      </c>
    </row>
    <row r="201" spans="1:8" x14ac:dyDescent="0.25">
      <c r="A201" s="1">
        <v>64</v>
      </c>
      <c r="B201" t="s">
        <v>7</v>
      </c>
      <c r="C201" s="2">
        <v>39.299999999999997</v>
      </c>
      <c r="D201" s="1">
        <v>0</v>
      </c>
      <c r="E201" t="s">
        <v>10</v>
      </c>
      <c r="F201" t="s">
        <v>14</v>
      </c>
      <c r="G201" s="3">
        <v>14901.52</v>
      </c>
      <c r="H201" t="str" cm="1">
        <f t="array" ref="H201">_xlfn.IFS(A201&lt;13, "Child", A201&lt;20, "Teenager", A201&lt;40, "Young Adult", A201&lt;60, "Senior Adult", A201&gt;=60, "Elderly")</f>
        <v>Elderly</v>
      </c>
    </row>
    <row r="202" spans="1:8" x14ac:dyDescent="0.25">
      <c r="A202" s="1">
        <v>19</v>
      </c>
      <c r="B202" t="s">
        <v>7</v>
      </c>
      <c r="C202" s="2">
        <v>32.1</v>
      </c>
      <c r="D202" s="1">
        <v>0</v>
      </c>
      <c r="E202" t="s">
        <v>10</v>
      </c>
      <c r="F202" t="s">
        <v>13</v>
      </c>
      <c r="G202" s="3">
        <v>2130.6799999999998</v>
      </c>
      <c r="H202" t="str" cm="1">
        <f t="array" ref="H202">_xlfn.IFS(A202&lt;13, "Child", A202&lt;20, "Teenager", A202&lt;40, "Young Adult", A202&lt;60, "Senior Adult", A202&gt;=60, "Elderly")</f>
        <v>Teenager</v>
      </c>
    </row>
    <row r="203" spans="1:8" x14ac:dyDescent="0.25">
      <c r="A203" s="1">
        <v>48</v>
      </c>
      <c r="B203" t="s">
        <v>7</v>
      </c>
      <c r="C203" s="2">
        <v>32.200000000000003</v>
      </c>
      <c r="D203" s="1">
        <v>1</v>
      </c>
      <c r="E203" t="s">
        <v>10</v>
      </c>
      <c r="F203" t="s">
        <v>12</v>
      </c>
      <c r="G203" s="3">
        <v>8871.15</v>
      </c>
      <c r="H203" t="str" cm="1">
        <f t="array" ref="H203">_xlfn.IFS(A203&lt;13, "Child", A203&lt;20, "Teenager", A203&lt;40, "Young Adult", A203&lt;60, "Senior Adult", A203&gt;=60, "Elderly")</f>
        <v>Senior Adult</v>
      </c>
    </row>
    <row r="204" spans="1:8" x14ac:dyDescent="0.25">
      <c r="A204" s="1">
        <v>60</v>
      </c>
      <c r="B204" t="s">
        <v>7</v>
      </c>
      <c r="C204" s="2">
        <v>24</v>
      </c>
      <c r="D204" s="1">
        <v>0</v>
      </c>
      <c r="E204" t="s">
        <v>10</v>
      </c>
      <c r="F204" t="s">
        <v>13</v>
      </c>
      <c r="G204" s="3">
        <v>13012.21</v>
      </c>
      <c r="H204" t="str" cm="1">
        <f t="array" ref="H204">_xlfn.IFS(A204&lt;13, "Child", A204&lt;20, "Teenager", A204&lt;40, "Young Adult", A204&lt;60, "Senior Adult", A204&gt;=60, "Elderly")</f>
        <v>Elderly</v>
      </c>
    </row>
    <row r="205" spans="1:8" x14ac:dyDescent="0.25">
      <c r="A205" s="1">
        <v>27</v>
      </c>
      <c r="B205" t="s">
        <v>7</v>
      </c>
      <c r="C205" s="2">
        <v>36.1</v>
      </c>
      <c r="D205" s="1">
        <v>0</v>
      </c>
      <c r="E205" t="s">
        <v>9</v>
      </c>
      <c r="F205" t="s">
        <v>12</v>
      </c>
      <c r="G205" s="3">
        <v>37133.9</v>
      </c>
      <c r="H205" t="str" cm="1">
        <f t="array" ref="H205">_xlfn.IFS(A205&lt;13, "Child", A205&lt;20, "Teenager", A205&lt;40, "Young Adult", A205&lt;60, "Senior Adult", A205&gt;=60, "Elderly")</f>
        <v>Young Adult</v>
      </c>
    </row>
    <row r="206" spans="1:8" x14ac:dyDescent="0.25">
      <c r="A206" s="1">
        <v>46</v>
      </c>
      <c r="B206" t="s">
        <v>8</v>
      </c>
      <c r="C206" s="2">
        <v>22.3</v>
      </c>
      <c r="D206" s="1">
        <v>0</v>
      </c>
      <c r="E206" t="s">
        <v>10</v>
      </c>
      <c r="F206" t="s">
        <v>11</v>
      </c>
      <c r="G206" s="3">
        <v>7147.11</v>
      </c>
      <c r="H206" t="str" cm="1">
        <f t="array" ref="H206">_xlfn.IFS(A206&lt;13, "Child", A206&lt;20, "Teenager", A206&lt;40, "Young Adult", A206&lt;60, "Senior Adult", A206&gt;=60, "Elderly")</f>
        <v>Senior Adult</v>
      </c>
    </row>
    <row r="207" spans="1:8" x14ac:dyDescent="0.25">
      <c r="A207" s="1">
        <v>28</v>
      </c>
      <c r="B207" t="s">
        <v>7</v>
      </c>
      <c r="C207" s="2">
        <v>28.9</v>
      </c>
      <c r="D207" s="1">
        <v>1</v>
      </c>
      <c r="E207" t="s">
        <v>10</v>
      </c>
      <c r="F207" t="s">
        <v>14</v>
      </c>
      <c r="G207" s="3">
        <v>4337.74</v>
      </c>
      <c r="H207" t="str" cm="1">
        <f t="array" ref="H207">_xlfn.IFS(A207&lt;13, "Child", A207&lt;20, "Teenager", A207&lt;40, "Young Adult", A207&lt;60, "Senior Adult", A207&gt;=60, "Elderly")</f>
        <v>Young Adult</v>
      </c>
    </row>
    <row r="208" spans="1:8" x14ac:dyDescent="0.25">
      <c r="A208" s="1">
        <v>59</v>
      </c>
      <c r="B208" t="s">
        <v>8</v>
      </c>
      <c r="C208" s="2">
        <v>26.4</v>
      </c>
      <c r="D208" s="1">
        <v>0</v>
      </c>
      <c r="E208" t="s">
        <v>10</v>
      </c>
      <c r="F208" t="s">
        <v>12</v>
      </c>
      <c r="G208" s="3">
        <v>11743.3</v>
      </c>
      <c r="H208" t="str" cm="1">
        <f t="array" ref="H208">_xlfn.IFS(A208&lt;13, "Child", A208&lt;20, "Teenager", A208&lt;40, "Young Adult", A208&lt;60, "Senior Adult", A208&gt;=60, "Elderly")</f>
        <v>Senior Adult</v>
      </c>
    </row>
    <row r="209" spans="1:8" x14ac:dyDescent="0.25">
      <c r="A209" s="1">
        <v>35</v>
      </c>
      <c r="B209" t="s">
        <v>8</v>
      </c>
      <c r="C209" s="2">
        <v>27.7</v>
      </c>
      <c r="D209" s="1">
        <v>2</v>
      </c>
      <c r="E209" t="s">
        <v>9</v>
      </c>
      <c r="F209" t="s">
        <v>14</v>
      </c>
      <c r="G209" s="3">
        <v>20984.09</v>
      </c>
      <c r="H209" t="str" cm="1">
        <f t="array" ref="H209">_xlfn.IFS(A209&lt;13, "Child", A209&lt;20, "Teenager", A209&lt;40, "Young Adult", A209&lt;60, "Senior Adult", A209&gt;=60, "Elderly")</f>
        <v>Young Adult</v>
      </c>
    </row>
    <row r="210" spans="1:8" x14ac:dyDescent="0.25">
      <c r="A210" s="1">
        <v>63</v>
      </c>
      <c r="B210" t="s">
        <v>7</v>
      </c>
      <c r="C210" s="2">
        <v>31.8</v>
      </c>
      <c r="D210" s="1">
        <v>0</v>
      </c>
      <c r="E210" t="s">
        <v>10</v>
      </c>
      <c r="F210" t="s">
        <v>11</v>
      </c>
      <c r="G210" s="3">
        <v>13880.95</v>
      </c>
      <c r="H210" t="str" cm="1">
        <f t="array" ref="H210">_xlfn.IFS(A210&lt;13, "Child", A210&lt;20, "Teenager", A210&lt;40, "Young Adult", A210&lt;60, "Senior Adult", A210&gt;=60, "Elderly")</f>
        <v>Elderly</v>
      </c>
    </row>
    <row r="211" spans="1:8" x14ac:dyDescent="0.25">
      <c r="A211" s="1">
        <v>40</v>
      </c>
      <c r="B211" t="s">
        <v>8</v>
      </c>
      <c r="C211" s="2">
        <v>41.2</v>
      </c>
      <c r="D211" s="1">
        <v>1</v>
      </c>
      <c r="E211" t="s">
        <v>10</v>
      </c>
      <c r="F211" t="s">
        <v>14</v>
      </c>
      <c r="G211" s="3">
        <v>6610.11</v>
      </c>
      <c r="H211" t="str" cm="1">
        <f t="array" ref="H211">_xlfn.IFS(A211&lt;13, "Child", A211&lt;20, "Teenager", A211&lt;40, "Young Adult", A211&lt;60, "Senior Adult", A211&gt;=60, "Elderly")</f>
        <v>Senior Adult</v>
      </c>
    </row>
    <row r="212" spans="1:8" x14ac:dyDescent="0.25">
      <c r="A212" s="1">
        <v>20</v>
      </c>
      <c r="B212" t="s">
        <v>8</v>
      </c>
      <c r="C212" s="2">
        <v>33</v>
      </c>
      <c r="D212" s="1">
        <v>1</v>
      </c>
      <c r="E212" t="s">
        <v>10</v>
      </c>
      <c r="F212" t="s">
        <v>11</v>
      </c>
      <c r="G212" s="3">
        <v>1980.07</v>
      </c>
      <c r="H212" t="str" cm="1">
        <f t="array" ref="H212">_xlfn.IFS(A212&lt;13, "Child", A212&lt;20, "Teenager", A212&lt;40, "Young Adult", A212&lt;60, "Senior Adult", A212&gt;=60, "Elderly")</f>
        <v>Young Adult</v>
      </c>
    </row>
    <row r="213" spans="1:8" x14ac:dyDescent="0.25">
      <c r="A213" s="1">
        <v>40</v>
      </c>
      <c r="B213" t="s">
        <v>8</v>
      </c>
      <c r="C213" s="2">
        <v>30.9</v>
      </c>
      <c r="D213" s="1">
        <v>4</v>
      </c>
      <c r="E213" t="s">
        <v>10</v>
      </c>
      <c r="F213" t="s">
        <v>13</v>
      </c>
      <c r="G213" s="3">
        <v>8162.72</v>
      </c>
      <c r="H213" t="str" cm="1">
        <f t="array" ref="H213">_xlfn.IFS(A213&lt;13, "Child", A213&lt;20, "Teenager", A213&lt;40, "Young Adult", A213&lt;60, "Senior Adult", A213&gt;=60, "Elderly")</f>
        <v>Senior Adult</v>
      </c>
    </row>
    <row r="214" spans="1:8" x14ac:dyDescent="0.25">
      <c r="A214" s="1">
        <v>24</v>
      </c>
      <c r="B214" t="s">
        <v>8</v>
      </c>
      <c r="C214" s="2">
        <v>28.5</v>
      </c>
      <c r="D214" s="1">
        <v>2</v>
      </c>
      <c r="E214" t="s">
        <v>10</v>
      </c>
      <c r="F214" t="s">
        <v>13</v>
      </c>
      <c r="G214" s="3">
        <v>3537.7</v>
      </c>
      <c r="H214" t="str" cm="1">
        <f t="array" ref="H214">_xlfn.IFS(A214&lt;13, "Child", A214&lt;20, "Teenager", A214&lt;40, "Young Adult", A214&lt;60, "Senior Adult", A214&gt;=60, "Elderly")</f>
        <v>Young Adult</v>
      </c>
    </row>
    <row r="215" spans="1:8" x14ac:dyDescent="0.25">
      <c r="A215" s="1">
        <v>34</v>
      </c>
      <c r="B215" t="s">
        <v>7</v>
      </c>
      <c r="C215" s="2">
        <v>26.7</v>
      </c>
      <c r="D215" s="1">
        <v>1</v>
      </c>
      <c r="E215" t="s">
        <v>10</v>
      </c>
      <c r="F215" t="s">
        <v>12</v>
      </c>
      <c r="G215" s="3">
        <v>5002.78</v>
      </c>
      <c r="H215" t="str" cm="1">
        <f t="array" ref="H215">_xlfn.IFS(A215&lt;13, "Child", A215&lt;20, "Teenager", A215&lt;40, "Young Adult", A215&lt;60, "Senior Adult", A215&gt;=60, "Elderly")</f>
        <v>Young Adult</v>
      </c>
    </row>
    <row r="216" spans="1:8" x14ac:dyDescent="0.25">
      <c r="A216" s="1">
        <v>45</v>
      </c>
      <c r="B216" t="s">
        <v>7</v>
      </c>
      <c r="C216" s="2">
        <v>30.9</v>
      </c>
      <c r="D216" s="1">
        <v>2</v>
      </c>
      <c r="E216" t="s">
        <v>10</v>
      </c>
      <c r="F216" t="s">
        <v>11</v>
      </c>
      <c r="G216" s="3">
        <v>8520.0300000000007</v>
      </c>
      <c r="H216" t="str" cm="1">
        <f t="array" ref="H216">_xlfn.IFS(A216&lt;13, "Child", A216&lt;20, "Teenager", A216&lt;40, "Young Adult", A216&lt;60, "Senior Adult", A216&gt;=60, "Elderly")</f>
        <v>Senior Adult</v>
      </c>
    </row>
    <row r="217" spans="1:8" x14ac:dyDescent="0.25">
      <c r="A217" s="1">
        <v>41</v>
      </c>
      <c r="B217" t="s">
        <v>7</v>
      </c>
      <c r="C217" s="2">
        <v>37.1</v>
      </c>
      <c r="D217" s="1">
        <v>2</v>
      </c>
      <c r="E217" t="s">
        <v>10</v>
      </c>
      <c r="F217" t="s">
        <v>11</v>
      </c>
      <c r="G217" s="3">
        <v>7371.77</v>
      </c>
      <c r="H217" t="str" cm="1">
        <f t="array" ref="H217">_xlfn.IFS(A217&lt;13, "Child", A217&lt;20, "Teenager", A217&lt;40, "Young Adult", A217&lt;60, "Senior Adult", A217&gt;=60, "Elderly")</f>
        <v>Senior Adult</v>
      </c>
    </row>
    <row r="218" spans="1:8" x14ac:dyDescent="0.25">
      <c r="A218" s="1">
        <v>53</v>
      </c>
      <c r="B218" t="s">
        <v>7</v>
      </c>
      <c r="C218" s="2">
        <v>26.6</v>
      </c>
      <c r="D218" s="1">
        <v>0</v>
      </c>
      <c r="E218" t="s">
        <v>10</v>
      </c>
      <c r="F218" t="s">
        <v>13</v>
      </c>
      <c r="G218" s="3">
        <v>10355.64</v>
      </c>
      <c r="H218" t="str" cm="1">
        <f t="array" ref="H218">_xlfn.IFS(A218&lt;13, "Child", A218&lt;20, "Teenager", A218&lt;40, "Young Adult", A218&lt;60, "Senior Adult", A218&gt;=60, "Elderly")</f>
        <v>Senior Adult</v>
      </c>
    </row>
    <row r="219" spans="1:8" x14ac:dyDescent="0.25">
      <c r="A219" s="1">
        <v>27</v>
      </c>
      <c r="B219" t="s">
        <v>8</v>
      </c>
      <c r="C219" s="2">
        <v>23.1</v>
      </c>
      <c r="D219" s="1">
        <v>0</v>
      </c>
      <c r="E219" t="s">
        <v>10</v>
      </c>
      <c r="F219" t="s">
        <v>12</v>
      </c>
      <c r="G219" s="3">
        <v>2483.7399999999998</v>
      </c>
      <c r="H219" t="str" cm="1">
        <f t="array" ref="H219">_xlfn.IFS(A219&lt;13, "Child", A219&lt;20, "Teenager", A219&lt;40, "Young Adult", A219&lt;60, "Senior Adult", A219&gt;=60, "Elderly")</f>
        <v>Young Adult</v>
      </c>
    </row>
    <row r="220" spans="1:8" x14ac:dyDescent="0.25">
      <c r="A220" s="1">
        <v>26</v>
      </c>
      <c r="B220" t="s">
        <v>7</v>
      </c>
      <c r="C220" s="2">
        <v>29.9</v>
      </c>
      <c r="D220" s="1">
        <v>1</v>
      </c>
      <c r="E220" t="s">
        <v>10</v>
      </c>
      <c r="F220" t="s">
        <v>12</v>
      </c>
      <c r="G220" s="3">
        <v>3392.98</v>
      </c>
      <c r="H220" t="str" cm="1">
        <f t="array" ref="H220">_xlfn.IFS(A220&lt;13, "Child", A220&lt;20, "Teenager", A220&lt;40, "Young Adult", A220&lt;60, "Senior Adult", A220&gt;=60, "Elderly")</f>
        <v>Young Adult</v>
      </c>
    </row>
    <row r="221" spans="1:8" x14ac:dyDescent="0.25">
      <c r="A221" s="1">
        <v>24</v>
      </c>
      <c r="B221" t="s">
        <v>7</v>
      </c>
      <c r="C221" s="2">
        <v>23.2</v>
      </c>
      <c r="D221" s="1">
        <v>0</v>
      </c>
      <c r="E221" t="s">
        <v>10</v>
      </c>
      <c r="F221" t="s">
        <v>12</v>
      </c>
      <c r="G221" s="3">
        <v>25081.77</v>
      </c>
      <c r="H221" t="str" cm="1">
        <f t="array" ref="H221">_xlfn.IFS(A221&lt;13, "Child", A221&lt;20, "Teenager", A221&lt;40, "Young Adult", A221&lt;60, "Senior Adult", A221&gt;=60, "Elderly")</f>
        <v>Young Adult</v>
      </c>
    </row>
    <row r="222" spans="1:8" x14ac:dyDescent="0.25">
      <c r="A222" s="1">
        <v>34</v>
      </c>
      <c r="B222" t="s">
        <v>7</v>
      </c>
      <c r="C222" s="2">
        <v>33.700000000000003</v>
      </c>
      <c r="D222" s="1">
        <v>1</v>
      </c>
      <c r="E222" t="s">
        <v>10</v>
      </c>
      <c r="F222" t="s">
        <v>11</v>
      </c>
      <c r="G222" s="3">
        <v>5012.47</v>
      </c>
      <c r="H222" t="str" cm="1">
        <f t="array" ref="H222">_xlfn.IFS(A222&lt;13, "Child", A222&lt;20, "Teenager", A222&lt;40, "Young Adult", A222&lt;60, "Senior Adult", A222&gt;=60, "Elderly")</f>
        <v>Young Adult</v>
      </c>
    </row>
    <row r="223" spans="1:8" x14ac:dyDescent="0.25">
      <c r="A223" s="1">
        <v>53</v>
      </c>
      <c r="B223" t="s">
        <v>7</v>
      </c>
      <c r="C223" s="2">
        <v>33.299999999999997</v>
      </c>
      <c r="D223" s="1">
        <v>0</v>
      </c>
      <c r="E223" t="s">
        <v>10</v>
      </c>
      <c r="F223" t="s">
        <v>14</v>
      </c>
      <c r="G223" s="3">
        <v>10564.88</v>
      </c>
      <c r="H223" t="str" cm="1">
        <f t="array" ref="H223">_xlfn.IFS(A223&lt;13, "Child", A223&lt;20, "Teenager", A223&lt;40, "Young Adult", A223&lt;60, "Senior Adult", A223&gt;=60, "Elderly")</f>
        <v>Senior Adult</v>
      </c>
    </row>
    <row r="224" spans="1:8" x14ac:dyDescent="0.25">
      <c r="A224" s="1">
        <v>32</v>
      </c>
      <c r="B224" t="s">
        <v>8</v>
      </c>
      <c r="C224" s="2">
        <v>30.8</v>
      </c>
      <c r="D224" s="1">
        <v>3</v>
      </c>
      <c r="E224" t="s">
        <v>10</v>
      </c>
      <c r="F224" t="s">
        <v>11</v>
      </c>
      <c r="G224" s="3">
        <v>5253.52</v>
      </c>
      <c r="H224" t="str" cm="1">
        <f t="array" ref="H224">_xlfn.IFS(A224&lt;13, "Child", A224&lt;20, "Teenager", A224&lt;40, "Young Adult", A224&lt;60, "Senior Adult", A224&gt;=60, "Elderly")</f>
        <v>Young Adult</v>
      </c>
    </row>
    <row r="225" spans="1:8" x14ac:dyDescent="0.25">
      <c r="A225" s="1">
        <v>19</v>
      </c>
      <c r="B225" t="s">
        <v>8</v>
      </c>
      <c r="C225" s="2">
        <v>34.799999999999997</v>
      </c>
      <c r="D225" s="1">
        <v>0</v>
      </c>
      <c r="E225" t="s">
        <v>9</v>
      </c>
      <c r="F225" t="s">
        <v>11</v>
      </c>
      <c r="G225" s="3">
        <v>34779.620000000003</v>
      </c>
      <c r="H225" t="str" cm="1">
        <f t="array" ref="H225">_xlfn.IFS(A225&lt;13, "Child", A225&lt;20, "Teenager", A225&lt;40, "Young Adult", A225&lt;60, "Senior Adult", A225&gt;=60, "Elderly")</f>
        <v>Teenager</v>
      </c>
    </row>
    <row r="226" spans="1:8" x14ac:dyDescent="0.25">
      <c r="A226" s="1">
        <v>42</v>
      </c>
      <c r="B226" t="s">
        <v>8</v>
      </c>
      <c r="C226" s="2">
        <v>24.6</v>
      </c>
      <c r="D226" s="1">
        <v>0</v>
      </c>
      <c r="E226" t="s">
        <v>9</v>
      </c>
      <c r="F226" t="s">
        <v>12</v>
      </c>
      <c r="G226" s="3">
        <v>19515.54</v>
      </c>
      <c r="H226" t="str" cm="1">
        <f t="array" ref="H226">_xlfn.IFS(A226&lt;13, "Child", A226&lt;20, "Teenager", A226&lt;40, "Young Adult", A226&lt;60, "Senior Adult", A226&gt;=60, "Elderly")</f>
        <v>Senior Adult</v>
      </c>
    </row>
    <row r="227" spans="1:8" x14ac:dyDescent="0.25">
      <c r="A227" s="1">
        <v>55</v>
      </c>
      <c r="B227" t="s">
        <v>8</v>
      </c>
      <c r="C227" s="2">
        <v>33.9</v>
      </c>
      <c r="D227" s="1">
        <v>3</v>
      </c>
      <c r="E227" t="s">
        <v>10</v>
      </c>
      <c r="F227" t="s">
        <v>12</v>
      </c>
      <c r="G227" s="3">
        <v>11987.17</v>
      </c>
      <c r="H227" t="str" cm="1">
        <f t="array" ref="H227">_xlfn.IFS(A227&lt;13, "Child", A227&lt;20, "Teenager", A227&lt;40, "Young Adult", A227&lt;60, "Senior Adult", A227&gt;=60, "Elderly")</f>
        <v>Senior Adult</v>
      </c>
    </row>
    <row r="228" spans="1:8" x14ac:dyDescent="0.25">
      <c r="A228" s="1">
        <v>28</v>
      </c>
      <c r="B228" t="s">
        <v>8</v>
      </c>
      <c r="C228" s="2">
        <v>38.1</v>
      </c>
      <c r="D228" s="1">
        <v>0</v>
      </c>
      <c r="E228" t="s">
        <v>10</v>
      </c>
      <c r="F228" t="s">
        <v>12</v>
      </c>
      <c r="G228" s="3">
        <v>2689.5</v>
      </c>
      <c r="H228" t="str" cm="1">
        <f t="array" ref="H228">_xlfn.IFS(A228&lt;13, "Child", A228&lt;20, "Teenager", A228&lt;40, "Young Adult", A228&lt;60, "Senior Adult", A228&gt;=60, "Elderly")</f>
        <v>Young Adult</v>
      </c>
    </row>
    <row r="229" spans="1:8" x14ac:dyDescent="0.25">
      <c r="A229" s="1">
        <v>58</v>
      </c>
      <c r="B229" t="s">
        <v>7</v>
      </c>
      <c r="C229" s="2">
        <v>41.9</v>
      </c>
      <c r="D229" s="1">
        <v>0</v>
      </c>
      <c r="E229" t="s">
        <v>10</v>
      </c>
      <c r="F229" t="s">
        <v>12</v>
      </c>
      <c r="G229" s="3">
        <v>24227.34</v>
      </c>
      <c r="H229" t="str" cm="1">
        <f t="array" ref="H229">_xlfn.IFS(A229&lt;13, "Child", A229&lt;20, "Teenager", A229&lt;40, "Young Adult", A229&lt;60, "Senior Adult", A229&gt;=60, "Elderly")</f>
        <v>Senior Adult</v>
      </c>
    </row>
    <row r="230" spans="1:8" x14ac:dyDescent="0.25">
      <c r="A230" s="1">
        <v>41</v>
      </c>
      <c r="B230" t="s">
        <v>7</v>
      </c>
      <c r="C230" s="2">
        <v>31.6</v>
      </c>
      <c r="D230" s="1">
        <v>1</v>
      </c>
      <c r="E230" t="s">
        <v>10</v>
      </c>
      <c r="F230" t="s">
        <v>14</v>
      </c>
      <c r="G230" s="3">
        <v>7358.18</v>
      </c>
      <c r="H230" t="str" cm="1">
        <f t="array" ref="H230">_xlfn.IFS(A230&lt;13, "Child", A230&lt;20, "Teenager", A230&lt;40, "Young Adult", A230&lt;60, "Senior Adult", A230&gt;=60, "Elderly")</f>
        <v>Senior Adult</v>
      </c>
    </row>
    <row r="231" spans="1:8" x14ac:dyDescent="0.25">
      <c r="A231" s="1">
        <v>47</v>
      </c>
      <c r="B231" t="s">
        <v>8</v>
      </c>
      <c r="C231" s="2">
        <v>25.5</v>
      </c>
      <c r="D231" s="1">
        <v>2</v>
      </c>
      <c r="E231" t="s">
        <v>10</v>
      </c>
      <c r="F231" t="s">
        <v>14</v>
      </c>
      <c r="G231" s="3">
        <v>9225.26</v>
      </c>
      <c r="H231" t="str" cm="1">
        <f t="array" ref="H231">_xlfn.IFS(A231&lt;13, "Child", A231&lt;20, "Teenager", A231&lt;40, "Young Adult", A231&lt;60, "Senior Adult", A231&gt;=60, "Elderly")</f>
        <v>Senior Adult</v>
      </c>
    </row>
    <row r="232" spans="1:8" x14ac:dyDescent="0.25">
      <c r="A232" s="1">
        <v>42</v>
      </c>
      <c r="B232" t="s">
        <v>7</v>
      </c>
      <c r="C232" s="2">
        <v>36.200000000000003</v>
      </c>
      <c r="D232" s="1">
        <v>1</v>
      </c>
      <c r="E232" t="s">
        <v>10</v>
      </c>
      <c r="F232" t="s">
        <v>13</v>
      </c>
      <c r="G232" s="3">
        <v>7443.64</v>
      </c>
      <c r="H232" t="str" cm="1">
        <f t="array" ref="H232">_xlfn.IFS(A232&lt;13, "Child", A232&lt;20, "Teenager", A232&lt;40, "Young Adult", A232&lt;60, "Senior Adult", A232&gt;=60, "Elderly")</f>
        <v>Senior Adult</v>
      </c>
    </row>
    <row r="233" spans="1:8" x14ac:dyDescent="0.25">
      <c r="A233" s="1">
        <v>59</v>
      </c>
      <c r="B233" t="s">
        <v>7</v>
      </c>
      <c r="C233" s="2">
        <v>27.8</v>
      </c>
      <c r="D233" s="1">
        <v>3</v>
      </c>
      <c r="E233" t="s">
        <v>10</v>
      </c>
      <c r="F233" t="s">
        <v>12</v>
      </c>
      <c r="G233" s="3">
        <v>14001.29</v>
      </c>
      <c r="H233" t="str" cm="1">
        <f t="array" ref="H233">_xlfn.IFS(A233&lt;13, "Child", A233&lt;20, "Teenager", A233&lt;40, "Young Adult", A233&lt;60, "Senior Adult", A233&gt;=60, "Elderly")</f>
        <v>Senior Adult</v>
      </c>
    </row>
    <row r="234" spans="1:8" x14ac:dyDescent="0.25">
      <c r="A234" s="1">
        <v>19</v>
      </c>
      <c r="B234" t="s">
        <v>7</v>
      </c>
      <c r="C234" s="2">
        <v>17.8</v>
      </c>
      <c r="D234" s="1">
        <v>0</v>
      </c>
      <c r="E234" t="s">
        <v>10</v>
      </c>
      <c r="F234" t="s">
        <v>11</v>
      </c>
      <c r="G234" s="3">
        <v>1727.79</v>
      </c>
      <c r="H234" t="str" cm="1">
        <f t="array" ref="H234">_xlfn.IFS(A234&lt;13, "Child", A234&lt;20, "Teenager", A234&lt;40, "Young Adult", A234&lt;60, "Senior Adult", A234&gt;=60, "Elderly")</f>
        <v>Teenager</v>
      </c>
    </row>
    <row r="235" spans="1:8" x14ac:dyDescent="0.25">
      <c r="A235" s="1">
        <v>59</v>
      </c>
      <c r="B235" t="s">
        <v>8</v>
      </c>
      <c r="C235" s="2">
        <v>27.5</v>
      </c>
      <c r="D235" s="1">
        <v>1</v>
      </c>
      <c r="E235" t="s">
        <v>10</v>
      </c>
      <c r="F235" t="s">
        <v>11</v>
      </c>
      <c r="G235" s="3">
        <v>12333.83</v>
      </c>
      <c r="H235" t="str" cm="1">
        <f t="array" ref="H235">_xlfn.IFS(A235&lt;13, "Child", A235&lt;20, "Teenager", A235&lt;40, "Young Adult", A235&lt;60, "Senior Adult", A235&gt;=60, "Elderly")</f>
        <v>Senior Adult</v>
      </c>
    </row>
    <row r="236" spans="1:8" x14ac:dyDescent="0.25">
      <c r="A236" s="1">
        <v>39</v>
      </c>
      <c r="B236" t="s">
        <v>8</v>
      </c>
      <c r="C236" s="2">
        <v>24.5</v>
      </c>
      <c r="D236" s="1">
        <v>2</v>
      </c>
      <c r="E236" t="s">
        <v>10</v>
      </c>
      <c r="F236" t="s">
        <v>13</v>
      </c>
      <c r="G236" s="3">
        <v>6710.19</v>
      </c>
      <c r="H236" t="str" cm="1">
        <f t="array" ref="H236">_xlfn.IFS(A236&lt;13, "Child", A236&lt;20, "Teenager", A236&lt;40, "Young Adult", A236&lt;60, "Senior Adult", A236&gt;=60, "Elderly")</f>
        <v>Young Adult</v>
      </c>
    </row>
    <row r="237" spans="1:8" x14ac:dyDescent="0.25">
      <c r="A237" s="1">
        <v>40</v>
      </c>
      <c r="B237" t="s">
        <v>7</v>
      </c>
      <c r="C237" s="2">
        <v>22.2</v>
      </c>
      <c r="D237" s="1">
        <v>2</v>
      </c>
      <c r="E237" t="s">
        <v>9</v>
      </c>
      <c r="F237" t="s">
        <v>12</v>
      </c>
      <c r="G237" s="3">
        <v>19444.27</v>
      </c>
      <c r="H237" t="str" cm="1">
        <f t="array" ref="H237">_xlfn.IFS(A237&lt;13, "Child", A237&lt;20, "Teenager", A237&lt;40, "Young Adult", A237&lt;60, "Senior Adult", A237&gt;=60, "Elderly")</f>
        <v>Senior Adult</v>
      </c>
    </row>
    <row r="238" spans="1:8" x14ac:dyDescent="0.25">
      <c r="A238" s="1">
        <v>18</v>
      </c>
      <c r="B238" t="s">
        <v>7</v>
      </c>
      <c r="C238" s="2">
        <v>26.7</v>
      </c>
      <c r="D238" s="1">
        <v>0</v>
      </c>
      <c r="E238" t="s">
        <v>10</v>
      </c>
      <c r="F238" t="s">
        <v>12</v>
      </c>
      <c r="G238" s="3">
        <v>1615.77</v>
      </c>
      <c r="H238" t="str" cm="1">
        <f t="array" ref="H238">_xlfn.IFS(A238&lt;13, "Child", A238&lt;20, "Teenager", A238&lt;40, "Young Adult", A238&lt;60, "Senior Adult", A238&gt;=60, "Elderly")</f>
        <v>Teenager</v>
      </c>
    </row>
    <row r="239" spans="1:8" x14ac:dyDescent="0.25">
      <c r="A239" s="1">
        <v>31</v>
      </c>
      <c r="B239" t="s">
        <v>8</v>
      </c>
      <c r="C239" s="2">
        <v>38.4</v>
      </c>
      <c r="D239" s="1">
        <v>2</v>
      </c>
      <c r="E239" t="s">
        <v>10</v>
      </c>
      <c r="F239" t="s">
        <v>12</v>
      </c>
      <c r="G239" s="3">
        <v>4463.21</v>
      </c>
      <c r="H239" t="str" cm="1">
        <f t="array" ref="H239">_xlfn.IFS(A239&lt;13, "Child", A239&lt;20, "Teenager", A239&lt;40, "Young Adult", A239&lt;60, "Senior Adult", A239&gt;=60, "Elderly")</f>
        <v>Young Adult</v>
      </c>
    </row>
    <row r="240" spans="1:8" x14ac:dyDescent="0.25">
      <c r="A240" s="1">
        <v>19</v>
      </c>
      <c r="B240" t="s">
        <v>8</v>
      </c>
      <c r="C240" s="2">
        <v>29.1</v>
      </c>
      <c r="D240" s="1">
        <v>0</v>
      </c>
      <c r="E240" t="s">
        <v>9</v>
      </c>
      <c r="F240" t="s">
        <v>13</v>
      </c>
      <c r="G240" s="3">
        <v>17352.68</v>
      </c>
      <c r="H240" t="str" cm="1">
        <f t="array" ref="H240">_xlfn.IFS(A240&lt;13, "Child", A240&lt;20, "Teenager", A240&lt;40, "Young Adult", A240&lt;60, "Senior Adult", A240&gt;=60, "Elderly")</f>
        <v>Teenager</v>
      </c>
    </row>
    <row r="241" spans="1:8" x14ac:dyDescent="0.25">
      <c r="A241" s="1">
        <v>44</v>
      </c>
      <c r="B241" t="s">
        <v>8</v>
      </c>
      <c r="C241" s="2">
        <v>38.1</v>
      </c>
      <c r="D241" s="1">
        <v>1</v>
      </c>
      <c r="E241" t="s">
        <v>10</v>
      </c>
      <c r="F241" t="s">
        <v>12</v>
      </c>
      <c r="G241" s="3">
        <v>7152.67</v>
      </c>
      <c r="H241" t="str" cm="1">
        <f t="array" ref="H241">_xlfn.IFS(A241&lt;13, "Child", A241&lt;20, "Teenager", A241&lt;40, "Young Adult", A241&lt;60, "Senior Adult", A241&gt;=60, "Elderly")</f>
        <v>Senior Adult</v>
      </c>
    </row>
    <row r="242" spans="1:8" x14ac:dyDescent="0.25">
      <c r="A242" s="1">
        <v>23</v>
      </c>
      <c r="B242" t="s">
        <v>7</v>
      </c>
      <c r="C242" s="2">
        <v>36.700000000000003</v>
      </c>
      <c r="D242" s="1">
        <v>2</v>
      </c>
      <c r="E242" t="s">
        <v>9</v>
      </c>
      <c r="F242" t="s">
        <v>14</v>
      </c>
      <c r="G242" s="3">
        <v>38511.629999999997</v>
      </c>
      <c r="H242" t="str" cm="1">
        <f t="array" ref="H242">_xlfn.IFS(A242&lt;13, "Child", A242&lt;20, "Teenager", A242&lt;40, "Young Adult", A242&lt;60, "Senior Adult", A242&gt;=60, "Elderly")</f>
        <v>Young Adult</v>
      </c>
    </row>
    <row r="243" spans="1:8" x14ac:dyDescent="0.25">
      <c r="A243" s="1">
        <v>33</v>
      </c>
      <c r="B243" t="s">
        <v>7</v>
      </c>
      <c r="C243" s="2">
        <v>22.1</v>
      </c>
      <c r="D243" s="1">
        <v>1</v>
      </c>
      <c r="E243" t="s">
        <v>10</v>
      </c>
      <c r="F243" t="s">
        <v>14</v>
      </c>
      <c r="G243" s="3">
        <v>5354.07</v>
      </c>
      <c r="H243" t="str" cm="1">
        <f t="array" ref="H243">_xlfn.IFS(A243&lt;13, "Child", A243&lt;20, "Teenager", A243&lt;40, "Young Adult", A243&lt;60, "Senior Adult", A243&gt;=60, "Elderly")</f>
        <v>Young Adult</v>
      </c>
    </row>
    <row r="244" spans="1:8" x14ac:dyDescent="0.25">
      <c r="A244" s="1">
        <v>55</v>
      </c>
      <c r="B244" t="s">
        <v>7</v>
      </c>
      <c r="C244" s="2">
        <v>26.8</v>
      </c>
      <c r="D244" s="1">
        <v>1</v>
      </c>
      <c r="E244" t="s">
        <v>10</v>
      </c>
      <c r="F244" t="s">
        <v>11</v>
      </c>
      <c r="G244" s="3">
        <v>35160.129999999997</v>
      </c>
      <c r="H244" t="str" cm="1">
        <f t="array" ref="H244">_xlfn.IFS(A244&lt;13, "Child", A244&lt;20, "Teenager", A244&lt;40, "Young Adult", A244&lt;60, "Senior Adult", A244&gt;=60, "Elderly")</f>
        <v>Senior Adult</v>
      </c>
    </row>
    <row r="245" spans="1:8" x14ac:dyDescent="0.25">
      <c r="A245" s="1">
        <v>40</v>
      </c>
      <c r="B245" t="s">
        <v>8</v>
      </c>
      <c r="C245" s="2">
        <v>35.299999999999997</v>
      </c>
      <c r="D245" s="1">
        <v>3</v>
      </c>
      <c r="E245" t="s">
        <v>10</v>
      </c>
      <c r="F245" t="s">
        <v>11</v>
      </c>
      <c r="G245" s="3">
        <v>7196.87</v>
      </c>
      <c r="H245" t="str" cm="1">
        <f t="array" ref="H245">_xlfn.IFS(A245&lt;13, "Child", A245&lt;20, "Teenager", A245&lt;40, "Young Adult", A245&lt;60, "Senior Adult", A245&gt;=60, "Elderly")</f>
        <v>Senior Adult</v>
      </c>
    </row>
    <row r="246" spans="1:8" x14ac:dyDescent="0.25">
      <c r="A246" s="1">
        <v>63</v>
      </c>
      <c r="B246" t="s">
        <v>7</v>
      </c>
      <c r="C246" s="2">
        <v>27.7</v>
      </c>
      <c r="D246" s="1">
        <v>0</v>
      </c>
      <c r="E246" t="s">
        <v>9</v>
      </c>
      <c r="F246" t="s">
        <v>14</v>
      </c>
      <c r="G246" s="3">
        <v>29523.17</v>
      </c>
      <c r="H246" t="str" cm="1">
        <f t="array" ref="H246">_xlfn.IFS(A246&lt;13, "Child", A246&lt;20, "Teenager", A246&lt;40, "Young Adult", A246&lt;60, "Senior Adult", A246&gt;=60, "Elderly")</f>
        <v>Elderly</v>
      </c>
    </row>
    <row r="247" spans="1:8" x14ac:dyDescent="0.25">
      <c r="A247" s="1">
        <v>54</v>
      </c>
      <c r="B247" t="s">
        <v>8</v>
      </c>
      <c r="C247" s="2">
        <v>30</v>
      </c>
      <c r="D247" s="1">
        <v>0</v>
      </c>
      <c r="E247" t="s">
        <v>10</v>
      </c>
      <c r="F247" t="s">
        <v>13</v>
      </c>
      <c r="G247" s="3">
        <v>24476.48</v>
      </c>
      <c r="H247" t="str" cm="1">
        <f t="array" ref="H247">_xlfn.IFS(A247&lt;13, "Child", A247&lt;20, "Teenager", A247&lt;40, "Young Adult", A247&lt;60, "Senior Adult", A247&gt;=60, "Elderly")</f>
        <v>Senior Adult</v>
      </c>
    </row>
    <row r="248" spans="1:8" x14ac:dyDescent="0.25">
      <c r="A248" s="1">
        <v>60</v>
      </c>
      <c r="B248" t="s">
        <v>7</v>
      </c>
      <c r="C248" s="2">
        <v>38.1</v>
      </c>
      <c r="D248" s="1">
        <v>0</v>
      </c>
      <c r="E248" t="s">
        <v>10</v>
      </c>
      <c r="F248" t="s">
        <v>12</v>
      </c>
      <c r="G248" s="3">
        <v>12648.7</v>
      </c>
      <c r="H248" t="str" cm="1">
        <f t="array" ref="H248">_xlfn.IFS(A248&lt;13, "Child", A248&lt;20, "Teenager", A248&lt;40, "Young Adult", A248&lt;60, "Senior Adult", A248&gt;=60, "Elderly")</f>
        <v>Elderly</v>
      </c>
    </row>
    <row r="249" spans="1:8" x14ac:dyDescent="0.25">
      <c r="A249" s="1">
        <v>24</v>
      </c>
      <c r="B249" t="s">
        <v>8</v>
      </c>
      <c r="C249" s="2">
        <v>35.9</v>
      </c>
      <c r="D249" s="1">
        <v>0</v>
      </c>
      <c r="E249" t="s">
        <v>10</v>
      </c>
      <c r="F249" t="s">
        <v>12</v>
      </c>
      <c r="G249" s="3">
        <v>1986.93</v>
      </c>
      <c r="H249" t="str" cm="1">
        <f t="array" ref="H249">_xlfn.IFS(A249&lt;13, "Child", A249&lt;20, "Teenager", A249&lt;40, "Young Adult", A249&lt;60, "Senior Adult", A249&gt;=60, "Elderly")</f>
        <v>Young Adult</v>
      </c>
    </row>
    <row r="250" spans="1:8" x14ac:dyDescent="0.25">
      <c r="A250" s="1">
        <v>19</v>
      </c>
      <c r="B250" t="s">
        <v>8</v>
      </c>
      <c r="C250" s="2">
        <v>20.9</v>
      </c>
      <c r="D250" s="1">
        <v>1</v>
      </c>
      <c r="E250" t="s">
        <v>10</v>
      </c>
      <c r="F250" t="s">
        <v>11</v>
      </c>
      <c r="G250" s="3">
        <v>1832.09</v>
      </c>
      <c r="H250" t="str" cm="1">
        <f t="array" ref="H250">_xlfn.IFS(A250&lt;13, "Child", A250&lt;20, "Teenager", A250&lt;40, "Young Adult", A250&lt;60, "Senior Adult", A250&gt;=60, "Elderly")</f>
        <v>Teenager</v>
      </c>
    </row>
    <row r="251" spans="1:8" x14ac:dyDescent="0.25">
      <c r="A251" s="1">
        <v>29</v>
      </c>
      <c r="B251" t="s">
        <v>8</v>
      </c>
      <c r="C251" s="2">
        <v>29</v>
      </c>
      <c r="D251" s="1">
        <v>1</v>
      </c>
      <c r="E251" t="s">
        <v>10</v>
      </c>
      <c r="F251" t="s">
        <v>14</v>
      </c>
      <c r="G251" s="3">
        <v>4040.56</v>
      </c>
      <c r="H251" t="str" cm="1">
        <f t="array" ref="H251">_xlfn.IFS(A251&lt;13, "Child", A251&lt;20, "Teenager", A251&lt;40, "Young Adult", A251&lt;60, "Senior Adult", A251&gt;=60, "Elderly")</f>
        <v>Young Adult</v>
      </c>
    </row>
    <row r="252" spans="1:8" x14ac:dyDescent="0.25">
      <c r="A252" s="1">
        <v>18</v>
      </c>
      <c r="B252" t="s">
        <v>8</v>
      </c>
      <c r="C252" s="2">
        <v>17.3</v>
      </c>
      <c r="D252" s="1">
        <v>2</v>
      </c>
      <c r="E252" t="s">
        <v>9</v>
      </c>
      <c r="F252" t="s">
        <v>14</v>
      </c>
      <c r="G252" s="3">
        <v>12829.46</v>
      </c>
      <c r="H252" t="str" cm="1">
        <f t="array" ref="H252">_xlfn.IFS(A252&lt;13, "Child", A252&lt;20, "Teenager", A252&lt;40, "Young Adult", A252&lt;60, "Senior Adult", A252&gt;=60, "Elderly")</f>
        <v>Teenager</v>
      </c>
    </row>
    <row r="253" spans="1:8" x14ac:dyDescent="0.25">
      <c r="A253" s="1">
        <v>63</v>
      </c>
      <c r="B253" t="s">
        <v>7</v>
      </c>
      <c r="C253" s="2">
        <v>32.200000000000003</v>
      </c>
      <c r="D253" s="1">
        <v>2</v>
      </c>
      <c r="E253" t="s">
        <v>9</v>
      </c>
      <c r="F253" t="s">
        <v>11</v>
      </c>
      <c r="G253" s="3">
        <v>47305.31</v>
      </c>
      <c r="H253" t="str" cm="1">
        <f t="array" ref="H253">_xlfn.IFS(A253&lt;13, "Child", A253&lt;20, "Teenager", A253&lt;40, "Young Adult", A253&lt;60, "Senior Adult", A253&gt;=60, "Elderly")</f>
        <v>Elderly</v>
      </c>
    </row>
    <row r="254" spans="1:8" x14ac:dyDescent="0.25">
      <c r="A254" s="1">
        <v>54</v>
      </c>
      <c r="B254" t="s">
        <v>8</v>
      </c>
      <c r="C254" s="2">
        <v>34.200000000000003</v>
      </c>
      <c r="D254" s="1">
        <v>2</v>
      </c>
      <c r="E254" t="s">
        <v>9</v>
      </c>
      <c r="F254" t="s">
        <v>12</v>
      </c>
      <c r="G254" s="3">
        <v>44260.75</v>
      </c>
      <c r="H254" t="str" cm="1">
        <f t="array" ref="H254">_xlfn.IFS(A254&lt;13, "Child", A254&lt;20, "Teenager", A254&lt;40, "Young Adult", A254&lt;60, "Senior Adult", A254&gt;=60, "Elderly")</f>
        <v>Senior Adult</v>
      </c>
    </row>
    <row r="255" spans="1:8" x14ac:dyDescent="0.25">
      <c r="A255" s="1">
        <v>27</v>
      </c>
      <c r="B255" t="s">
        <v>8</v>
      </c>
      <c r="C255" s="2">
        <v>30.3</v>
      </c>
      <c r="D255" s="1">
        <v>3</v>
      </c>
      <c r="E255" t="s">
        <v>10</v>
      </c>
      <c r="F255" t="s">
        <v>11</v>
      </c>
      <c r="G255" s="3">
        <v>4260.74</v>
      </c>
      <c r="H255" t="str" cm="1">
        <f t="array" ref="H255">_xlfn.IFS(A255&lt;13, "Child", A255&lt;20, "Teenager", A255&lt;40, "Young Adult", A255&lt;60, "Senior Adult", A255&gt;=60, "Elderly")</f>
        <v>Young Adult</v>
      </c>
    </row>
    <row r="256" spans="1:8" x14ac:dyDescent="0.25">
      <c r="A256" s="1">
        <v>50</v>
      </c>
      <c r="B256" t="s">
        <v>8</v>
      </c>
      <c r="C256" s="2">
        <v>31.8</v>
      </c>
      <c r="D256" s="1">
        <v>0</v>
      </c>
      <c r="E256" t="s">
        <v>9</v>
      </c>
      <c r="F256" t="s">
        <v>14</v>
      </c>
      <c r="G256" s="3">
        <v>41097.160000000003</v>
      </c>
      <c r="H256" t="str" cm="1">
        <f t="array" ref="H256">_xlfn.IFS(A256&lt;13, "Child", A256&lt;20, "Teenager", A256&lt;40, "Young Adult", A256&lt;60, "Senior Adult", A256&gt;=60, "Elderly")</f>
        <v>Senior Adult</v>
      </c>
    </row>
    <row r="257" spans="1:8" x14ac:dyDescent="0.25">
      <c r="A257" s="1">
        <v>55</v>
      </c>
      <c r="B257" t="s">
        <v>7</v>
      </c>
      <c r="C257" s="2">
        <v>25.4</v>
      </c>
      <c r="D257" s="1">
        <v>3</v>
      </c>
      <c r="E257" t="s">
        <v>10</v>
      </c>
      <c r="F257" t="s">
        <v>14</v>
      </c>
      <c r="G257" s="3">
        <v>13047.33</v>
      </c>
      <c r="H257" t="str" cm="1">
        <f t="array" ref="H257">_xlfn.IFS(A257&lt;13, "Child", A257&lt;20, "Teenager", A257&lt;40, "Young Adult", A257&lt;60, "Senior Adult", A257&gt;=60, "Elderly")</f>
        <v>Senior Adult</v>
      </c>
    </row>
    <row r="258" spans="1:8" x14ac:dyDescent="0.25">
      <c r="A258" s="1">
        <v>56</v>
      </c>
      <c r="B258" t="s">
        <v>8</v>
      </c>
      <c r="C258" s="2">
        <v>33.6</v>
      </c>
      <c r="D258" s="1">
        <v>0</v>
      </c>
      <c r="E258" t="s">
        <v>9</v>
      </c>
      <c r="F258" t="s">
        <v>13</v>
      </c>
      <c r="G258" s="3">
        <v>43921.18</v>
      </c>
      <c r="H258" t="str" cm="1">
        <f t="array" ref="H258">_xlfn.IFS(A258&lt;13, "Child", A258&lt;20, "Teenager", A258&lt;40, "Young Adult", A258&lt;60, "Senior Adult", A258&gt;=60, "Elderly")</f>
        <v>Senior Adult</v>
      </c>
    </row>
    <row r="259" spans="1:8" x14ac:dyDescent="0.25">
      <c r="A259" s="1">
        <v>38</v>
      </c>
      <c r="B259" t="s">
        <v>7</v>
      </c>
      <c r="C259" s="2">
        <v>40.200000000000003</v>
      </c>
      <c r="D259" s="1">
        <v>0</v>
      </c>
      <c r="E259" t="s">
        <v>10</v>
      </c>
      <c r="F259" t="s">
        <v>12</v>
      </c>
      <c r="G259" s="3">
        <v>5400.98</v>
      </c>
      <c r="H259" t="str" cm="1">
        <f t="array" ref="H259">_xlfn.IFS(A259&lt;13, "Child", A259&lt;20, "Teenager", A259&lt;40, "Young Adult", A259&lt;60, "Senior Adult", A259&gt;=60, "Elderly")</f>
        <v>Young Adult</v>
      </c>
    </row>
    <row r="260" spans="1:8" x14ac:dyDescent="0.25">
      <c r="A260" s="1">
        <v>51</v>
      </c>
      <c r="B260" t="s">
        <v>8</v>
      </c>
      <c r="C260" s="2">
        <v>24.4</v>
      </c>
      <c r="D260" s="1">
        <v>4</v>
      </c>
      <c r="E260" t="s">
        <v>10</v>
      </c>
      <c r="F260" t="s">
        <v>13</v>
      </c>
      <c r="G260" s="3">
        <v>11520.1</v>
      </c>
      <c r="H260" t="str" cm="1">
        <f t="array" ref="H260">_xlfn.IFS(A260&lt;13, "Child", A260&lt;20, "Teenager", A260&lt;40, "Young Adult", A260&lt;60, "Senior Adult", A260&gt;=60, "Elderly")</f>
        <v>Senior Adult</v>
      </c>
    </row>
    <row r="261" spans="1:8" x14ac:dyDescent="0.25">
      <c r="A261" s="1">
        <v>19</v>
      </c>
      <c r="B261" t="s">
        <v>8</v>
      </c>
      <c r="C261" s="2">
        <v>31.9</v>
      </c>
      <c r="D261" s="1">
        <v>0</v>
      </c>
      <c r="E261" t="s">
        <v>9</v>
      </c>
      <c r="F261" t="s">
        <v>13</v>
      </c>
      <c r="G261" s="3">
        <v>33750.29</v>
      </c>
      <c r="H261" t="str" cm="1">
        <f t="array" ref="H261">_xlfn.IFS(A261&lt;13, "Child", A261&lt;20, "Teenager", A261&lt;40, "Young Adult", A261&lt;60, "Senior Adult", A261&gt;=60, "Elderly")</f>
        <v>Teenager</v>
      </c>
    </row>
    <row r="262" spans="1:8" x14ac:dyDescent="0.25">
      <c r="A262" s="1">
        <v>58</v>
      </c>
      <c r="B262" t="s">
        <v>7</v>
      </c>
      <c r="C262" s="2">
        <v>25.2</v>
      </c>
      <c r="D262" s="1">
        <v>0</v>
      </c>
      <c r="E262" t="s">
        <v>10</v>
      </c>
      <c r="F262" t="s">
        <v>11</v>
      </c>
      <c r="G262" s="3">
        <v>11837.16</v>
      </c>
      <c r="H262" t="str" cm="1">
        <f t="array" ref="H262">_xlfn.IFS(A262&lt;13, "Child", A262&lt;20, "Teenager", A262&lt;40, "Young Adult", A262&lt;60, "Senior Adult", A262&gt;=60, "Elderly")</f>
        <v>Senior Adult</v>
      </c>
    </row>
    <row r="263" spans="1:8" x14ac:dyDescent="0.25">
      <c r="A263" s="1">
        <v>20</v>
      </c>
      <c r="B263" t="s">
        <v>7</v>
      </c>
      <c r="C263" s="2">
        <v>26.8</v>
      </c>
      <c r="D263" s="1">
        <v>1</v>
      </c>
      <c r="E263" t="s">
        <v>9</v>
      </c>
      <c r="F263" t="s">
        <v>12</v>
      </c>
      <c r="G263" s="3">
        <v>17085.27</v>
      </c>
      <c r="H263" t="str" cm="1">
        <f t="array" ref="H263">_xlfn.IFS(A263&lt;13, "Child", A263&lt;20, "Teenager", A263&lt;40, "Young Adult", A263&lt;60, "Senior Adult", A263&gt;=60, "Elderly")</f>
        <v>Young Adult</v>
      </c>
    </row>
    <row r="264" spans="1:8" x14ac:dyDescent="0.25">
      <c r="A264" s="1">
        <v>52</v>
      </c>
      <c r="B264" t="s">
        <v>8</v>
      </c>
      <c r="C264" s="2">
        <v>24.3</v>
      </c>
      <c r="D264" s="1">
        <v>3</v>
      </c>
      <c r="E264" t="s">
        <v>9</v>
      </c>
      <c r="F264" t="s">
        <v>14</v>
      </c>
      <c r="G264" s="3">
        <v>24869.84</v>
      </c>
      <c r="H264" t="str" cm="1">
        <f t="array" ref="H264">_xlfn.IFS(A264&lt;13, "Child", A264&lt;20, "Teenager", A264&lt;40, "Young Adult", A264&lt;60, "Senior Adult", A264&gt;=60, "Elderly")</f>
        <v>Senior Adult</v>
      </c>
    </row>
    <row r="265" spans="1:8" x14ac:dyDescent="0.25">
      <c r="A265" s="1">
        <v>19</v>
      </c>
      <c r="B265" t="s">
        <v>8</v>
      </c>
      <c r="C265" s="2">
        <v>37</v>
      </c>
      <c r="D265" s="1">
        <v>0</v>
      </c>
      <c r="E265" t="s">
        <v>9</v>
      </c>
      <c r="F265" t="s">
        <v>13</v>
      </c>
      <c r="G265" s="3">
        <v>36219.410000000003</v>
      </c>
      <c r="H265" t="str" cm="1">
        <f t="array" ref="H265">_xlfn.IFS(A265&lt;13, "Child", A265&lt;20, "Teenager", A265&lt;40, "Young Adult", A265&lt;60, "Senior Adult", A265&gt;=60, "Elderly")</f>
        <v>Teenager</v>
      </c>
    </row>
    <row r="266" spans="1:8" x14ac:dyDescent="0.25">
      <c r="A266" s="1">
        <v>53</v>
      </c>
      <c r="B266" t="s">
        <v>7</v>
      </c>
      <c r="C266" s="2">
        <v>38.1</v>
      </c>
      <c r="D266" s="1">
        <v>3</v>
      </c>
      <c r="E266" t="s">
        <v>10</v>
      </c>
      <c r="F266" t="s">
        <v>12</v>
      </c>
      <c r="G266" s="3">
        <v>20463</v>
      </c>
      <c r="H266" t="str" cm="1">
        <f t="array" ref="H266">_xlfn.IFS(A266&lt;13, "Child", A266&lt;20, "Teenager", A266&lt;40, "Young Adult", A266&lt;60, "Senior Adult", A266&gt;=60, "Elderly")</f>
        <v>Senior Adult</v>
      </c>
    </row>
    <row r="267" spans="1:8" x14ac:dyDescent="0.25">
      <c r="A267" s="1">
        <v>46</v>
      </c>
      <c r="B267" t="s">
        <v>8</v>
      </c>
      <c r="C267" s="2">
        <v>42.4</v>
      </c>
      <c r="D267" s="1">
        <v>3</v>
      </c>
      <c r="E267" t="s">
        <v>9</v>
      </c>
      <c r="F267" t="s">
        <v>12</v>
      </c>
      <c r="G267" s="3">
        <v>46151.12</v>
      </c>
      <c r="H267" t="str" cm="1">
        <f t="array" ref="H267">_xlfn.IFS(A267&lt;13, "Child", A267&lt;20, "Teenager", A267&lt;40, "Young Adult", A267&lt;60, "Senior Adult", A267&gt;=60, "Elderly")</f>
        <v>Senior Adult</v>
      </c>
    </row>
    <row r="268" spans="1:8" x14ac:dyDescent="0.25">
      <c r="A268" s="1">
        <v>40</v>
      </c>
      <c r="B268" t="s">
        <v>8</v>
      </c>
      <c r="C268" s="2">
        <v>19.8</v>
      </c>
      <c r="D268" s="1">
        <v>1</v>
      </c>
      <c r="E268" t="s">
        <v>9</v>
      </c>
      <c r="F268" t="s">
        <v>12</v>
      </c>
      <c r="G268" s="3">
        <v>17179.52</v>
      </c>
      <c r="H268" t="str" cm="1">
        <f t="array" ref="H268">_xlfn.IFS(A268&lt;13, "Child", A268&lt;20, "Teenager", A268&lt;40, "Young Adult", A268&lt;60, "Senior Adult", A268&gt;=60, "Elderly")</f>
        <v>Senior Adult</v>
      </c>
    </row>
    <row r="269" spans="1:8" x14ac:dyDescent="0.25">
      <c r="A269" s="1">
        <v>59</v>
      </c>
      <c r="B269" t="s">
        <v>7</v>
      </c>
      <c r="C269" s="2">
        <v>32.4</v>
      </c>
      <c r="D269" s="1">
        <v>3</v>
      </c>
      <c r="E269" t="s">
        <v>10</v>
      </c>
      <c r="F269" t="s">
        <v>14</v>
      </c>
      <c r="G269" s="3">
        <v>14590.63</v>
      </c>
      <c r="H269" t="str" cm="1">
        <f t="array" ref="H269">_xlfn.IFS(A269&lt;13, "Child", A269&lt;20, "Teenager", A269&lt;40, "Young Adult", A269&lt;60, "Senior Adult", A269&gt;=60, "Elderly")</f>
        <v>Senior Adult</v>
      </c>
    </row>
    <row r="270" spans="1:8" x14ac:dyDescent="0.25">
      <c r="A270" s="1">
        <v>45</v>
      </c>
      <c r="B270" t="s">
        <v>8</v>
      </c>
      <c r="C270" s="2">
        <v>30.2</v>
      </c>
      <c r="D270" s="1">
        <v>1</v>
      </c>
      <c r="E270" t="s">
        <v>10</v>
      </c>
      <c r="F270" t="s">
        <v>11</v>
      </c>
      <c r="G270" s="3">
        <v>7441.05</v>
      </c>
      <c r="H270" t="str" cm="1">
        <f t="array" ref="H270">_xlfn.IFS(A270&lt;13, "Child", A270&lt;20, "Teenager", A270&lt;40, "Young Adult", A270&lt;60, "Senior Adult", A270&gt;=60, "Elderly")</f>
        <v>Senior Adult</v>
      </c>
    </row>
    <row r="271" spans="1:8" x14ac:dyDescent="0.25">
      <c r="A271" s="1">
        <v>49</v>
      </c>
      <c r="B271" t="s">
        <v>8</v>
      </c>
      <c r="C271" s="2">
        <v>25.8</v>
      </c>
      <c r="D271" s="1">
        <v>1</v>
      </c>
      <c r="E271" t="s">
        <v>10</v>
      </c>
      <c r="F271" t="s">
        <v>14</v>
      </c>
      <c r="G271" s="3">
        <v>9282.48</v>
      </c>
      <c r="H271" t="str" cm="1">
        <f t="array" ref="H271">_xlfn.IFS(A271&lt;13, "Child", A271&lt;20, "Teenager", A271&lt;40, "Young Adult", A271&lt;60, "Senior Adult", A271&gt;=60, "Elderly")</f>
        <v>Senior Adult</v>
      </c>
    </row>
    <row r="272" spans="1:8" x14ac:dyDescent="0.25">
      <c r="A272" s="1">
        <v>18</v>
      </c>
      <c r="B272" t="s">
        <v>8</v>
      </c>
      <c r="C272" s="2">
        <v>29.4</v>
      </c>
      <c r="D272" s="1">
        <v>1</v>
      </c>
      <c r="E272" t="s">
        <v>10</v>
      </c>
      <c r="F272" t="s">
        <v>12</v>
      </c>
      <c r="G272" s="3">
        <v>1719.44</v>
      </c>
      <c r="H272" t="str" cm="1">
        <f t="array" ref="H272">_xlfn.IFS(A272&lt;13, "Child", A272&lt;20, "Teenager", A272&lt;40, "Young Adult", A272&lt;60, "Senior Adult", A272&gt;=60, "Elderly")</f>
        <v>Teenager</v>
      </c>
    </row>
    <row r="273" spans="1:8" x14ac:dyDescent="0.25">
      <c r="A273" s="1">
        <v>50</v>
      </c>
      <c r="B273" t="s">
        <v>8</v>
      </c>
      <c r="C273" s="2">
        <v>34.200000000000003</v>
      </c>
      <c r="D273" s="1">
        <v>2</v>
      </c>
      <c r="E273" t="s">
        <v>9</v>
      </c>
      <c r="F273" t="s">
        <v>11</v>
      </c>
      <c r="G273" s="3">
        <v>42856.84</v>
      </c>
      <c r="H273" t="str" cm="1">
        <f t="array" ref="H273">_xlfn.IFS(A273&lt;13, "Child", A273&lt;20, "Teenager", A273&lt;40, "Young Adult", A273&lt;60, "Senior Adult", A273&gt;=60, "Elderly")</f>
        <v>Senior Adult</v>
      </c>
    </row>
    <row r="274" spans="1:8" x14ac:dyDescent="0.25">
      <c r="A274" s="1">
        <v>41</v>
      </c>
      <c r="B274" t="s">
        <v>8</v>
      </c>
      <c r="C274" s="2">
        <v>37.1</v>
      </c>
      <c r="D274" s="1">
        <v>2</v>
      </c>
      <c r="E274" t="s">
        <v>10</v>
      </c>
      <c r="F274" t="s">
        <v>13</v>
      </c>
      <c r="G274" s="3">
        <v>7265.7</v>
      </c>
      <c r="H274" t="str" cm="1">
        <f t="array" ref="H274">_xlfn.IFS(A274&lt;13, "Child", A274&lt;20, "Teenager", A274&lt;40, "Young Adult", A274&lt;60, "Senior Adult", A274&gt;=60, "Elderly")</f>
        <v>Senior Adult</v>
      </c>
    </row>
    <row r="275" spans="1:8" x14ac:dyDescent="0.25">
      <c r="A275" s="1">
        <v>50</v>
      </c>
      <c r="B275" t="s">
        <v>8</v>
      </c>
      <c r="C275" s="2">
        <v>27.5</v>
      </c>
      <c r="D275" s="1">
        <v>1</v>
      </c>
      <c r="E275" t="s">
        <v>10</v>
      </c>
      <c r="F275" t="s">
        <v>14</v>
      </c>
      <c r="G275" s="3">
        <v>9617.66</v>
      </c>
      <c r="H275" t="str" cm="1">
        <f t="array" ref="H275">_xlfn.IFS(A275&lt;13, "Child", A275&lt;20, "Teenager", A275&lt;40, "Young Adult", A275&lt;60, "Senior Adult", A275&gt;=60, "Elderly")</f>
        <v>Senior Adult</v>
      </c>
    </row>
    <row r="276" spans="1:8" x14ac:dyDescent="0.25">
      <c r="A276" s="1">
        <v>25</v>
      </c>
      <c r="B276" t="s">
        <v>8</v>
      </c>
      <c r="C276" s="2">
        <v>27.6</v>
      </c>
      <c r="D276" s="1">
        <v>0</v>
      </c>
      <c r="E276" t="s">
        <v>10</v>
      </c>
      <c r="F276" t="s">
        <v>13</v>
      </c>
      <c r="G276" s="3">
        <v>2523.17</v>
      </c>
      <c r="H276" t="str" cm="1">
        <f t="array" ref="H276">_xlfn.IFS(A276&lt;13, "Child", A276&lt;20, "Teenager", A276&lt;40, "Young Adult", A276&lt;60, "Senior Adult", A276&gt;=60, "Elderly")</f>
        <v>Young Adult</v>
      </c>
    </row>
    <row r="277" spans="1:8" x14ac:dyDescent="0.25">
      <c r="A277" s="1">
        <v>47</v>
      </c>
      <c r="B277" t="s">
        <v>7</v>
      </c>
      <c r="C277" s="2">
        <v>26.6</v>
      </c>
      <c r="D277" s="1">
        <v>2</v>
      </c>
      <c r="E277" t="s">
        <v>10</v>
      </c>
      <c r="F277" t="s">
        <v>14</v>
      </c>
      <c r="G277" s="3">
        <v>9715.84</v>
      </c>
      <c r="H277" t="str" cm="1">
        <f t="array" ref="H277">_xlfn.IFS(A277&lt;13, "Child", A277&lt;20, "Teenager", A277&lt;40, "Young Adult", A277&lt;60, "Senior Adult", A277&gt;=60, "Elderly")</f>
        <v>Senior Adult</v>
      </c>
    </row>
    <row r="278" spans="1:8" x14ac:dyDescent="0.25">
      <c r="A278" s="1">
        <v>19</v>
      </c>
      <c r="B278" t="s">
        <v>8</v>
      </c>
      <c r="C278" s="2">
        <v>20.6</v>
      </c>
      <c r="D278" s="1">
        <v>2</v>
      </c>
      <c r="E278" t="s">
        <v>10</v>
      </c>
      <c r="F278" t="s">
        <v>13</v>
      </c>
      <c r="G278" s="3">
        <v>2803.7</v>
      </c>
      <c r="H278" t="str" cm="1">
        <f t="array" ref="H278">_xlfn.IFS(A278&lt;13, "Child", A278&lt;20, "Teenager", A278&lt;40, "Young Adult", A278&lt;60, "Senior Adult", A278&gt;=60, "Elderly")</f>
        <v>Teenager</v>
      </c>
    </row>
    <row r="279" spans="1:8" x14ac:dyDescent="0.25">
      <c r="A279" s="1">
        <v>22</v>
      </c>
      <c r="B279" t="s">
        <v>7</v>
      </c>
      <c r="C279" s="2">
        <v>24.3</v>
      </c>
      <c r="D279" s="1">
        <v>0</v>
      </c>
      <c r="E279" t="s">
        <v>10</v>
      </c>
      <c r="F279" t="s">
        <v>11</v>
      </c>
      <c r="G279" s="3">
        <v>2150.4699999999998</v>
      </c>
      <c r="H279" t="str" cm="1">
        <f t="array" ref="H279">_xlfn.IFS(A279&lt;13, "Child", A279&lt;20, "Teenager", A279&lt;40, "Young Adult", A279&lt;60, "Senior Adult", A279&gt;=60, "Elderly")</f>
        <v>Young Adult</v>
      </c>
    </row>
    <row r="280" spans="1:8" x14ac:dyDescent="0.25">
      <c r="A280" s="1">
        <v>59</v>
      </c>
      <c r="B280" t="s">
        <v>8</v>
      </c>
      <c r="C280" s="2">
        <v>31.8</v>
      </c>
      <c r="D280" s="1">
        <v>2</v>
      </c>
      <c r="E280" t="s">
        <v>10</v>
      </c>
      <c r="F280" t="s">
        <v>12</v>
      </c>
      <c r="G280" s="3">
        <v>12928.79</v>
      </c>
      <c r="H280" t="str" cm="1">
        <f t="array" ref="H280">_xlfn.IFS(A280&lt;13, "Child", A280&lt;20, "Teenager", A280&lt;40, "Young Adult", A280&lt;60, "Senior Adult", A280&gt;=60, "Elderly")</f>
        <v>Senior Adult</v>
      </c>
    </row>
    <row r="281" spans="1:8" x14ac:dyDescent="0.25">
      <c r="A281" s="1">
        <v>51</v>
      </c>
      <c r="B281" t="s">
        <v>7</v>
      </c>
      <c r="C281" s="2">
        <v>21.6</v>
      </c>
      <c r="D281" s="1">
        <v>1</v>
      </c>
      <c r="E281" t="s">
        <v>10</v>
      </c>
      <c r="F281" t="s">
        <v>12</v>
      </c>
      <c r="G281" s="3">
        <v>9855.1299999999992</v>
      </c>
      <c r="H281" t="str" cm="1">
        <f t="array" ref="H281">_xlfn.IFS(A281&lt;13, "Child", A281&lt;20, "Teenager", A281&lt;40, "Young Adult", A281&lt;60, "Senior Adult", A281&gt;=60, "Elderly")</f>
        <v>Senior Adult</v>
      </c>
    </row>
    <row r="282" spans="1:8" x14ac:dyDescent="0.25">
      <c r="A282" s="1">
        <v>40</v>
      </c>
      <c r="B282" t="s">
        <v>7</v>
      </c>
      <c r="C282" s="2">
        <v>28.1</v>
      </c>
      <c r="D282" s="1">
        <v>1</v>
      </c>
      <c r="E282" t="s">
        <v>9</v>
      </c>
      <c r="F282" t="s">
        <v>14</v>
      </c>
      <c r="G282" s="3">
        <v>22331.57</v>
      </c>
      <c r="H282" t="str" cm="1">
        <f t="array" ref="H282">_xlfn.IFS(A282&lt;13, "Child", A282&lt;20, "Teenager", A282&lt;40, "Young Adult", A282&lt;60, "Senior Adult", A282&gt;=60, "Elderly")</f>
        <v>Senior Adult</v>
      </c>
    </row>
    <row r="283" spans="1:8" x14ac:dyDescent="0.25">
      <c r="A283" s="1">
        <v>54</v>
      </c>
      <c r="B283" t="s">
        <v>8</v>
      </c>
      <c r="C283" s="2">
        <v>40.6</v>
      </c>
      <c r="D283" s="1">
        <v>3</v>
      </c>
      <c r="E283" t="s">
        <v>9</v>
      </c>
      <c r="F283" t="s">
        <v>14</v>
      </c>
      <c r="G283" s="3">
        <v>48549.18</v>
      </c>
      <c r="H283" t="str" cm="1">
        <f t="array" ref="H283">_xlfn.IFS(A283&lt;13, "Child", A283&lt;20, "Teenager", A283&lt;40, "Young Adult", A283&lt;60, "Senior Adult", A283&gt;=60, "Elderly")</f>
        <v>Senior Adult</v>
      </c>
    </row>
    <row r="284" spans="1:8" x14ac:dyDescent="0.25">
      <c r="A284" s="1">
        <v>30</v>
      </c>
      <c r="B284" t="s">
        <v>8</v>
      </c>
      <c r="C284" s="2">
        <v>27.6</v>
      </c>
      <c r="D284" s="1">
        <v>1</v>
      </c>
      <c r="E284" t="s">
        <v>10</v>
      </c>
      <c r="F284" t="s">
        <v>14</v>
      </c>
      <c r="G284" s="3">
        <v>4237.13</v>
      </c>
      <c r="H284" t="str" cm="1">
        <f t="array" ref="H284">_xlfn.IFS(A284&lt;13, "Child", A284&lt;20, "Teenager", A284&lt;40, "Young Adult", A284&lt;60, "Senior Adult", A284&gt;=60, "Elderly")</f>
        <v>Young Adult</v>
      </c>
    </row>
    <row r="285" spans="1:8" x14ac:dyDescent="0.25">
      <c r="A285" s="1">
        <v>55</v>
      </c>
      <c r="B285" t="s">
        <v>7</v>
      </c>
      <c r="C285" s="2">
        <v>32.4</v>
      </c>
      <c r="D285" s="1">
        <v>1</v>
      </c>
      <c r="E285" t="s">
        <v>10</v>
      </c>
      <c r="F285" t="s">
        <v>14</v>
      </c>
      <c r="G285" s="3">
        <v>11879.1</v>
      </c>
      <c r="H285" t="str" cm="1">
        <f t="array" ref="H285">_xlfn.IFS(A285&lt;13, "Child", A285&lt;20, "Teenager", A285&lt;40, "Young Adult", A285&lt;60, "Senior Adult", A285&gt;=60, "Elderly")</f>
        <v>Senior Adult</v>
      </c>
    </row>
    <row r="286" spans="1:8" x14ac:dyDescent="0.25">
      <c r="A286" s="1">
        <v>52</v>
      </c>
      <c r="B286" t="s">
        <v>7</v>
      </c>
      <c r="C286" s="2">
        <v>31.2</v>
      </c>
      <c r="D286" s="1">
        <v>0</v>
      </c>
      <c r="E286" t="s">
        <v>10</v>
      </c>
      <c r="F286" t="s">
        <v>11</v>
      </c>
      <c r="G286" s="3">
        <v>9625.92</v>
      </c>
      <c r="H286" t="str" cm="1">
        <f t="array" ref="H286">_xlfn.IFS(A286&lt;13, "Child", A286&lt;20, "Teenager", A286&lt;40, "Young Adult", A286&lt;60, "Senior Adult", A286&gt;=60, "Elderly")</f>
        <v>Senior Adult</v>
      </c>
    </row>
    <row r="287" spans="1:8" x14ac:dyDescent="0.25">
      <c r="A287" s="1">
        <v>46</v>
      </c>
      <c r="B287" t="s">
        <v>8</v>
      </c>
      <c r="C287" s="2">
        <v>26.6</v>
      </c>
      <c r="D287" s="1">
        <v>1</v>
      </c>
      <c r="E287" t="s">
        <v>10</v>
      </c>
      <c r="F287" t="s">
        <v>12</v>
      </c>
      <c r="G287" s="3">
        <v>7742.11</v>
      </c>
      <c r="H287" t="str" cm="1">
        <f t="array" ref="H287">_xlfn.IFS(A287&lt;13, "Child", A287&lt;20, "Teenager", A287&lt;40, "Young Adult", A287&lt;60, "Senior Adult", A287&gt;=60, "Elderly")</f>
        <v>Senior Adult</v>
      </c>
    </row>
    <row r="288" spans="1:8" x14ac:dyDescent="0.25">
      <c r="A288" s="1">
        <v>46</v>
      </c>
      <c r="B288" t="s">
        <v>7</v>
      </c>
      <c r="C288" s="2">
        <v>48.1</v>
      </c>
      <c r="D288" s="1">
        <v>2</v>
      </c>
      <c r="E288" t="s">
        <v>10</v>
      </c>
      <c r="F288" t="s">
        <v>14</v>
      </c>
      <c r="G288" s="3">
        <v>9432.93</v>
      </c>
      <c r="H288" t="str" cm="1">
        <f t="array" ref="H288">_xlfn.IFS(A288&lt;13, "Child", A288&lt;20, "Teenager", A288&lt;40, "Young Adult", A288&lt;60, "Senior Adult", A288&gt;=60, "Elderly")</f>
        <v>Senior Adult</v>
      </c>
    </row>
    <row r="289" spans="1:8" x14ac:dyDescent="0.25">
      <c r="A289" s="1">
        <v>63</v>
      </c>
      <c r="B289" t="s">
        <v>7</v>
      </c>
      <c r="C289" s="2">
        <v>26.2</v>
      </c>
      <c r="D289" s="1">
        <v>0</v>
      </c>
      <c r="E289" t="s">
        <v>10</v>
      </c>
      <c r="F289" t="s">
        <v>13</v>
      </c>
      <c r="G289" s="3">
        <v>14256.19</v>
      </c>
      <c r="H289" t="str" cm="1">
        <f t="array" ref="H289">_xlfn.IFS(A289&lt;13, "Child", A289&lt;20, "Teenager", A289&lt;40, "Young Adult", A289&lt;60, "Senior Adult", A289&gt;=60, "Elderly")</f>
        <v>Elderly</v>
      </c>
    </row>
    <row r="290" spans="1:8" x14ac:dyDescent="0.25">
      <c r="A290" s="1">
        <v>59</v>
      </c>
      <c r="B290" t="s">
        <v>7</v>
      </c>
      <c r="C290" s="2">
        <v>36.799999999999997</v>
      </c>
      <c r="D290" s="1">
        <v>1</v>
      </c>
      <c r="E290" t="s">
        <v>9</v>
      </c>
      <c r="F290" t="s">
        <v>14</v>
      </c>
      <c r="G290" s="3">
        <v>47896.79</v>
      </c>
      <c r="H290" t="str" cm="1">
        <f t="array" ref="H290">_xlfn.IFS(A290&lt;13, "Child", A290&lt;20, "Teenager", A290&lt;40, "Young Adult", A290&lt;60, "Senior Adult", A290&gt;=60, "Elderly")</f>
        <v>Senior Adult</v>
      </c>
    </row>
    <row r="291" spans="1:8" x14ac:dyDescent="0.25">
      <c r="A291" s="1">
        <v>52</v>
      </c>
      <c r="B291" t="s">
        <v>8</v>
      </c>
      <c r="C291" s="2">
        <v>26.4</v>
      </c>
      <c r="D291" s="1">
        <v>3</v>
      </c>
      <c r="E291" t="s">
        <v>10</v>
      </c>
      <c r="F291" t="s">
        <v>12</v>
      </c>
      <c r="G291" s="3">
        <v>25992.82</v>
      </c>
      <c r="H291" t="str" cm="1">
        <f t="array" ref="H291">_xlfn.IFS(A291&lt;13, "Child", A291&lt;20, "Teenager", A291&lt;40, "Young Adult", A291&lt;60, "Senior Adult", A291&gt;=60, "Elderly")</f>
        <v>Senior Adult</v>
      </c>
    </row>
    <row r="292" spans="1:8" x14ac:dyDescent="0.25">
      <c r="A292" s="1">
        <v>28</v>
      </c>
      <c r="B292" t="s">
        <v>7</v>
      </c>
      <c r="C292" s="2">
        <v>33.4</v>
      </c>
      <c r="D292" s="1">
        <v>0</v>
      </c>
      <c r="E292" t="s">
        <v>10</v>
      </c>
      <c r="F292" t="s">
        <v>11</v>
      </c>
      <c r="G292" s="3">
        <v>3172.02</v>
      </c>
      <c r="H292" t="str" cm="1">
        <f t="array" ref="H292">_xlfn.IFS(A292&lt;13, "Child", A292&lt;20, "Teenager", A292&lt;40, "Young Adult", A292&lt;60, "Senior Adult", A292&gt;=60, "Elderly")</f>
        <v>Young Adult</v>
      </c>
    </row>
    <row r="293" spans="1:8" x14ac:dyDescent="0.25">
      <c r="A293" s="1">
        <v>29</v>
      </c>
      <c r="B293" t="s">
        <v>8</v>
      </c>
      <c r="C293" s="2">
        <v>29.6</v>
      </c>
      <c r="D293" s="1">
        <v>1</v>
      </c>
      <c r="E293" t="s">
        <v>10</v>
      </c>
      <c r="F293" t="s">
        <v>14</v>
      </c>
      <c r="G293" s="3">
        <v>20277.810000000001</v>
      </c>
      <c r="H293" t="str" cm="1">
        <f t="array" ref="H293">_xlfn.IFS(A293&lt;13, "Child", A293&lt;20, "Teenager", A293&lt;40, "Young Adult", A293&lt;60, "Senior Adult", A293&gt;=60, "Elderly")</f>
        <v>Young Adult</v>
      </c>
    </row>
    <row r="294" spans="1:8" x14ac:dyDescent="0.25">
      <c r="A294" s="1">
        <v>25</v>
      </c>
      <c r="B294" t="s">
        <v>8</v>
      </c>
      <c r="C294" s="2">
        <v>45.5</v>
      </c>
      <c r="D294" s="1">
        <v>2</v>
      </c>
      <c r="E294" t="s">
        <v>9</v>
      </c>
      <c r="F294" t="s">
        <v>12</v>
      </c>
      <c r="G294" s="3">
        <v>42112.24</v>
      </c>
      <c r="H294" t="str" cm="1">
        <f t="array" ref="H294">_xlfn.IFS(A294&lt;13, "Child", A294&lt;20, "Teenager", A294&lt;40, "Young Adult", A294&lt;60, "Senior Adult", A294&gt;=60, "Elderly")</f>
        <v>Young Adult</v>
      </c>
    </row>
    <row r="295" spans="1:8" x14ac:dyDescent="0.25">
      <c r="A295" s="1">
        <v>22</v>
      </c>
      <c r="B295" t="s">
        <v>7</v>
      </c>
      <c r="C295" s="2">
        <v>28.8</v>
      </c>
      <c r="D295" s="1">
        <v>0</v>
      </c>
      <c r="E295" t="s">
        <v>10</v>
      </c>
      <c r="F295" t="s">
        <v>12</v>
      </c>
      <c r="G295" s="3">
        <v>2156.75</v>
      </c>
      <c r="H295" t="str" cm="1">
        <f t="array" ref="H295">_xlfn.IFS(A295&lt;13, "Child", A295&lt;20, "Teenager", A295&lt;40, "Young Adult", A295&lt;60, "Senior Adult", A295&gt;=60, "Elderly")</f>
        <v>Young Adult</v>
      </c>
    </row>
    <row r="296" spans="1:8" x14ac:dyDescent="0.25">
      <c r="A296" s="1">
        <v>25</v>
      </c>
      <c r="B296" t="s">
        <v>8</v>
      </c>
      <c r="C296" s="2">
        <v>26.8</v>
      </c>
      <c r="D296" s="1">
        <v>3</v>
      </c>
      <c r="E296" t="s">
        <v>10</v>
      </c>
      <c r="F296" t="s">
        <v>11</v>
      </c>
      <c r="G296" s="3">
        <v>3906.13</v>
      </c>
      <c r="H296" t="str" cm="1">
        <f t="array" ref="H296">_xlfn.IFS(A296&lt;13, "Child", A296&lt;20, "Teenager", A296&lt;40, "Young Adult", A296&lt;60, "Senior Adult", A296&gt;=60, "Elderly")</f>
        <v>Young Adult</v>
      </c>
    </row>
    <row r="297" spans="1:8" x14ac:dyDescent="0.25">
      <c r="A297" s="1">
        <v>18</v>
      </c>
      <c r="B297" t="s">
        <v>8</v>
      </c>
      <c r="C297" s="2">
        <v>23</v>
      </c>
      <c r="D297" s="1">
        <v>0</v>
      </c>
      <c r="E297" t="s">
        <v>10</v>
      </c>
      <c r="F297" t="s">
        <v>14</v>
      </c>
      <c r="G297" s="3">
        <v>1704.57</v>
      </c>
      <c r="H297" t="str" cm="1">
        <f t="array" ref="H297">_xlfn.IFS(A297&lt;13, "Child", A297&lt;20, "Teenager", A297&lt;40, "Young Adult", A297&lt;60, "Senior Adult", A297&gt;=60, "Elderly")</f>
        <v>Teenager</v>
      </c>
    </row>
    <row r="298" spans="1:8" x14ac:dyDescent="0.25">
      <c r="A298" s="1">
        <v>19</v>
      </c>
      <c r="B298" t="s">
        <v>8</v>
      </c>
      <c r="C298" s="2">
        <v>27.7</v>
      </c>
      <c r="D298" s="1">
        <v>0</v>
      </c>
      <c r="E298" t="s">
        <v>9</v>
      </c>
      <c r="F298" t="s">
        <v>11</v>
      </c>
      <c r="G298" s="3">
        <v>16297.85</v>
      </c>
      <c r="H298" t="str" cm="1">
        <f t="array" ref="H298">_xlfn.IFS(A298&lt;13, "Child", A298&lt;20, "Teenager", A298&lt;40, "Young Adult", A298&lt;60, "Senior Adult", A298&gt;=60, "Elderly")</f>
        <v>Teenager</v>
      </c>
    </row>
    <row r="299" spans="1:8" x14ac:dyDescent="0.25">
      <c r="A299" s="1">
        <v>47</v>
      </c>
      <c r="B299" t="s">
        <v>8</v>
      </c>
      <c r="C299" s="2">
        <v>25.4</v>
      </c>
      <c r="D299" s="1">
        <v>1</v>
      </c>
      <c r="E299" t="s">
        <v>9</v>
      </c>
      <c r="F299" t="s">
        <v>12</v>
      </c>
      <c r="G299" s="3">
        <v>21978.68</v>
      </c>
      <c r="H299" t="str" cm="1">
        <f t="array" ref="H299">_xlfn.IFS(A299&lt;13, "Child", A299&lt;20, "Teenager", A299&lt;40, "Young Adult", A299&lt;60, "Senior Adult", A299&gt;=60, "Elderly")</f>
        <v>Senior Adult</v>
      </c>
    </row>
    <row r="300" spans="1:8" x14ac:dyDescent="0.25">
      <c r="A300" s="1">
        <v>31</v>
      </c>
      <c r="B300" t="s">
        <v>8</v>
      </c>
      <c r="C300" s="2">
        <v>34.4</v>
      </c>
      <c r="D300" s="1">
        <v>3</v>
      </c>
      <c r="E300" t="s">
        <v>9</v>
      </c>
      <c r="F300" t="s">
        <v>13</v>
      </c>
      <c r="G300" s="3">
        <v>38746.36</v>
      </c>
      <c r="H300" t="str" cm="1">
        <f t="array" ref="H300">_xlfn.IFS(A300&lt;13, "Child", A300&lt;20, "Teenager", A300&lt;40, "Young Adult", A300&lt;60, "Senior Adult", A300&gt;=60, "Elderly")</f>
        <v>Young Adult</v>
      </c>
    </row>
    <row r="301" spans="1:8" x14ac:dyDescent="0.25">
      <c r="A301" s="1">
        <v>48</v>
      </c>
      <c r="B301" t="s">
        <v>7</v>
      </c>
      <c r="C301" s="2">
        <v>28.9</v>
      </c>
      <c r="D301" s="1">
        <v>1</v>
      </c>
      <c r="E301" t="s">
        <v>10</v>
      </c>
      <c r="F301" t="s">
        <v>13</v>
      </c>
      <c r="G301" s="3">
        <v>9249.5</v>
      </c>
      <c r="H301" t="str" cm="1">
        <f t="array" ref="H301">_xlfn.IFS(A301&lt;13, "Child", A301&lt;20, "Teenager", A301&lt;40, "Young Adult", A301&lt;60, "Senior Adult", A301&gt;=60, "Elderly")</f>
        <v>Senior Adult</v>
      </c>
    </row>
    <row r="302" spans="1:8" x14ac:dyDescent="0.25">
      <c r="A302" s="1">
        <v>36</v>
      </c>
      <c r="B302" t="s">
        <v>8</v>
      </c>
      <c r="C302" s="2">
        <v>27.6</v>
      </c>
      <c r="D302" s="1">
        <v>3</v>
      </c>
      <c r="E302" t="s">
        <v>10</v>
      </c>
      <c r="F302" t="s">
        <v>14</v>
      </c>
      <c r="G302" s="3">
        <v>6746.74</v>
      </c>
      <c r="H302" t="str" cm="1">
        <f t="array" ref="H302">_xlfn.IFS(A302&lt;13, "Child", A302&lt;20, "Teenager", A302&lt;40, "Young Adult", A302&lt;60, "Senior Adult", A302&gt;=60, "Elderly")</f>
        <v>Young Adult</v>
      </c>
    </row>
    <row r="303" spans="1:8" x14ac:dyDescent="0.25">
      <c r="A303" s="1">
        <v>53</v>
      </c>
      <c r="B303" t="s">
        <v>7</v>
      </c>
      <c r="C303" s="2">
        <v>22.6</v>
      </c>
      <c r="D303" s="1">
        <v>3</v>
      </c>
      <c r="E303" t="s">
        <v>9</v>
      </c>
      <c r="F303" t="s">
        <v>14</v>
      </c>
      <c r="G303" s="3">
        <v>24873.38</v>
      </c>
      <c r="H303" t="str" cm="1">
        <f t="array" ref="H303">_xlfn.IFS(A303&lt;13, "Child", A303&lt;20, "Teenager", A303&lt;40, "Young Adult", A303&lt;60, "Senior Adult", A303&gt;=60, "Elderly")</f>
        <v>Senior Adult</v>
      </c>
    </row>
    <row r="304" spans="1:8" x14ac:dyDescent="0.25">
      <c r="A304" s="1">
        <v>56</v>
      </c>
      <c r="B304" t="s">
        <v>7</v>
      </c>
      <c r="C304" s="2">
        <v>37.5</v>
      </c>
      <c r="D304" s="1">
        <v>2</v>
      </c>
      <c r="E304" t="s">
        <v>10</v>
      </c>
      <c r="F304" t="s">
        <v>12</v>
      </c>
      <c r="G304" s="3">
        <v>12265.51</v>
      </c>
      <c r="H304" t="str" cm="1">
        <f t="array" ref="H304">_xlfn.IFS(A304&lt;13, "Child", A304&lt;20, "Teenager", A304&lt;40, "Young Adult", A304&lt;60, "Senior Adult", A304&gt;=60, "Elderly")</f>
        <v>Senior Adult</v>
      </c>
    </row>
    <row r="305" spans="1:8" x14ac:dyDescent="0.25">
      <c r="A305" s="1">
        <v>28</v>
      </c>
      <c r="B305" t="s">
        <v>7</v>
      </c>
      <c r="C305" s="2">
        <v>33</v>
      </c>
      <c r="D305" s="1">
        <v>2</v>
      </c>
      <c r="E305" t="s">
        <v>10</v>
      </c>
      <c r="F305" t="s">
        <v>12</v>
      </c>
      <c r="G305" s="3">
        <v>4349.46</v>
      </c>
      <c r="H305" t="str" cm="1">
        <f t="array" ref="H305">_xlfn.IFS(A305&lt;13, "Child", A305&lt;20, "Teenager", A305&lt;40, "Young Adult", A305&lt;60, "Senior Adult", A305&gt;=60, "Elderly")</f>
        <v>Young Adult</v>
      </c>
    </row>
    <row r="306" spans="1:8" x14ac:dyDescent="0.25">
      <c r="A306" s="1">
        <v>57</v>
      </c>
      <c r="B306" t="s">
        <v>7</v>
      </c>
      <c r="C306" s="2">
        <v>38</v>
      </c>
      <c r="D306" s="1">
        <v>2</v>
      </c>
      <c r="E306" t="s">
        <v>10</v>
      </c>
      <c r="F306" t="s">
        <v>11</v>
      </c>
      <c r="G306" s="3">
        <v>12646.21</v>
      </c>
      <c r="H306" t="str" cm="1">
        <f t="array" ref="H306">_xlfn.IFS(A306&lt;13, "Child", A306&lt;20, "Teenager", A306&lt;40, "Young Adult", A306&lt;60, "Senior Adult", A306&gt;=60, "Elderly")</f>
        <v>Senior Adult</v>
      </c>
    </row>
    <row r="307" spans="1:8" x14ac:dyDescent="0.25">
      <c r="A307" s="1">
        <v>29</v>
      </c>
      <c r="B307" t="s">
        <v>8</v>
      </c>
      <c r="C307" s="2">
        <v>33.299999999999997</v>
      </c>
      <c r="D307" s="1">
        <v>2</v>
      </c>
      <c r="E307" t="s">
        <v>10</v>
      </c>
      <c r="F307" t="s">
        <v>13</v>
      </c>
      <c r="G307" s="3">
        <v>19442.349999999999</v>
      </c>
      <c r="H307" t="str" cm="1">
        <f t="array" ref="H307">_xlfn.IFS(A307&lt;13, "Child", A307&lt;20, "Teenager", A307&lt;40, "Young Adult", A307&lt;60, "Senior Adult", A307&gt;=60, "Elderly")</f>
        <v>Young Adult</v>
      </c>
    </row>
    <row r="308" spans="1:8" x14ac:dyDescent="0.25">
      <c r="A308" s="1">
        <v>28</v>
      </c>
      <c r="B308" t="s">
        <v>7</v>
      </c>
      <c r="C308" s="2">
        <v>27.5</v>
      </c>
      <c r="D308" s="1">
        <v>2</v>
      </c>
      <c r="E308" t="s">
        <v>10</v>
      </c>
      <c r="F308" t="s">
        <v>11</v>
      </c>
      <c r="G308" s="3">
        <v>20177.669999999998</v>
      </c>
      <c r="H308" t="str" cm="1">
        <f t="array" ref="H308">_xlfn.IFS(A308&lt;13, "Child", A308&lt;20, "Teenager", A308&lt;40, "Young Adult", A308&lt;60, "Senior Adult", A308&gt;=60, "Elderly")</f>
        <v>Young Adult</v>
      </c>
    </row>
    <row r="309" spans="1:8" x14ac:dyDescent="0.25">
      <c r="A309" s="1">
        <v>30</v>
      </c>
      <c r="B309" t="s">
        <v>7</v>
      </c>
      <c r="C309" s="2">
        <v>33.299999999999997</v>
      </c>
      <c r="D309" s="1">
        <v>1</v>
      </c>
      <c r="E309" t="s">
        <v>10</v>
      </c>
      <c r="F309" t="s">
        <v>12</v>
      </c>
      <c r="G309" s="3">
        <v>4151.03</v>
      </c>
      <c r="H309" t="str" cm="1">
        <f t="array" ref="H309">_xlfn.IFS(A309&lt;13, "Child", A309&lt;20, "Teenager", A309&lt;40, "Young Adult", A309&lt;60, "Senior Adult", A309&gt;=60, "Elderly")</f>
        <v>Young Adult</v>
      </c>
    </row>
    <row r="310" spans="1:8" x14ac:dyDescent="0.25">
      <c r="A310" s="1">
        <v>58</v>
      </c>
      <c r="B310" t="s">
        <v>8</v>
      </c>
      <c r="C310" s="2">
        <v>34.9</v>
      </c>
      <c r="D310" s="1">
        <v>0</v>
      </c>
      <c r="E310" t="s">
        <v>10</v>
      </c>
      <c r="F310" t="s">
        <v>14</v>
      </c>
      <c r="G310" s="3">
        <v>11944.59</v>
      </c>
      <c r="H310" t="str" cm="1">
        <f t="array" ref="H310">_xlfn.IFS(A310&lt;13, "Child", A310&lt;20, "Teenager", A310&lt;40, "Young Adult", A310&lt;60, "Senior Adult", A310&gt;=60, "Elderly")</f>
        <v>Senior Adult</v>
      </c>
    </row>
    <row r="311" spans="1:8" x14ac:dyDescent="0.25">
      <c r="A311" s="1">
        <v>41</v>
      </c>
      <c r="B311" t="s">
        <v>7</v>
      </c>
      <c r="C311" s="2">
        <v>33.1</v>
      </c>
      <c r="D311" s="1">
        <v>2</v>
      </c>
      <c r="E311" t="s">
        <v>10</v>
      </c>
      <c r="F311" t="s">
        <v>13</v>
      </c>
      <c r="G311" s="3">
        <v>7749.16</v>
      </c>
      <c r="H311" t="str" cm="1">
        <f t="array" ref="H311">_xlfn.IFS(A311&lt;13, "Child", A311&lt;20, "Teenager", A311&lt;40, "Young Adult", A311&lt;60, "Senior Adult", A311&gt;=60, "Elderly")</f>
        <v>Senior Adult</v>
      </c>
    </row>
    <row r="312" spans="1:8" x14ac:dyDescent="0.25">
      <c r="A312" s="1">
        <v>50</v>
      </c>
      <c r="B312" t="s">
        <v>8</v>
      </c>
      <c r="C312" s="2">
        <v>26.6</v>
      </c>
      <c r="D312" s="1">
        <v>0</v>
      </c>
      <c r="E312" t="s">
        <v>10</v>
      </c>
      <c r="F312" t="s">
        <v>11</v>
      </c>
      <c r="G312" s="3">
        <v>8444.4699999999993</v>
      </c>
      <c r="H312" t="str" cm="1">
        <f t="array" ref="H312">_xlfn.IFS(A312&lt;13, "Child", A312&lt;20, "Teenager", A312&lt;40, "Young Adult", A312&lt;60, "Senior Adult", A312&gt;=60, "Elderly")</f>
        <v>Senior Adult</v>
      </c>
    </row>
    <row r="313" spans="1:8" x14ac:dyDescent="0.25">
      <c r="A313" s="1">
        <v>19</v>
      </c>
      <c r="B313" t="s">
        <v>7</v>
      </c>
      <c r="C313" s="2">
        <v>24.7</v>
      </c>
      <c r="D313" s="1">
        <v>0</v>
      </c>
      <c r="E313" t="s">
        <v>10</v>
      </c>
      <c r="F313" t="s">
        <v>11</v>
      </c>
      <c r="G313" s="3">
        <v>1737.38</v>
      </c>
      <c r="H313" t="str" cm="1">
        <f t="array" ref="H313">_xlfn.IFS(A313&lt;13, "Child", A313&lt;20, "Teenager", A313&lt;40, "Young Adult", A313&lt;60, "Senior Adult", A313&gt;=60, "Elderly")</f>
        <v>Teenager</v>
      </c>
    </row>
    <row r="314" spans="1:8" x14ac:dyDescent="0.25">
      <c r="A314" s="1">
        <v>43</v>
      </c>
      <c r="B314" t="s">
        <v>8</v>
      </c>
      <c r="C314" s="2">
        <v>36</v>
      </c>
      <c r="D314" s="1">
        <v>3</v>
      </c>
      <c r="E314" t="s">
        <v>9</v>
      </c>
      <c r="F314" t="s">
        <v>12</v>
      </c>
      <c r="G314" s="3">
        <v>42124.52</v>
      </c>
      <c r="H314" t="str" cm="1">
        <f t="array" ref="H314">_xlfn.IFS(A314&lt;13, "Child", A314&lt;20, "Teenager", A314&lt;40, "Young Adult", A314&lt;60, "Senior Adult", A314&gt;=60, "Elderly")</f>
        <v>Senior Adult</v>
      </c>
    </row>
    <row r="315" spans="1:8" x14ac:dyDescent="0.25">
      <c r="A315" s="1">
        <v>49</v>
      </c>
      <c r="B315" t="s">
        <v>8</v>
      </c>
      <c r="C315" s="2">
        <v>35.9</v>
      </c>
      <c r="D315" s="1">
        <v>0</v>
      </c>
      <c r="E315" t="s">
        <v>10</v>
      </c>
      <c r="F315" t="s">
        <v>12</v>
      </c>
      <c r="G315" s="3">
        <v>8124.41</v>
      </c>
      <c r="H315" t="str" cm="1">
        <f t="array" ref="H315">_xlfn.IFS(A315&lt;13, "Child", A315&lt;20, "Teenager", A315&lt;40, "Young Adult", A315&lt;60, "Senior Adult", A315&gt;=60, "Elderly")</f>
        <v>Senior Adult</v>
      </c>
    </row>
    <row r="316" spans="1:8" x14ac:dyDescent="0.25">
      <c r="A316" s="1">
        <v>27</v>
      </c>
      <c r="B316" t="s">
        <v>7</v>
      </c>
      <c r="C316" s="2">
        <v>31.4</v>
      </c>
      <c r="D316" s="1">
        <v>0</v>
      </c>
      <c r="E316" t="s">
        <v>9</v>
      </c>
      <c r="F316" t="s">
        <v>11</v>
      </c>
      <c r="G316" s="3">
        <v>34838.870000000003</v>
      </c>
      <c r="H316" t="str" cm="1">
        <f t="array" ref="H316">_xlfn.IFS(A316&lt;13, "Child", A316&lt;20, "Teenager", A316&lt;40, "Young Adult", A316&lt;60, "Senior Adult", A316&gt;=60, "Elderly")</f>
        <v>Young Adult</v>
      </c>
    </row>
    <row r="317" spans="1:8" x14ac:dyDescent="0.25">
      <c r="A317" s="1">
        <v>52</v>
      </c>
      <c r="B317" t="s">
        <v>8</v>
      </c>
      <c r="C317" s="2">
        <v>33.299999999999997</v>
      </c>
      <c r="D317" s="1">
        <v>0</v>
      </c>
      <c r="E317" t="s">
        <v>10</v>
      </c>
      <c r="F317" t="s">
        <v>14</v>
      </c>
      <c r="G317" s="3">
        <v>9722.77</v>
      </c>
      <c r="H317" t="str" cm="1">
        <f t="array" ref="H317">_xlfn.IFS(A317&lt;13, "Child", A317&lt;20, "Teenager", A317&lt;40, "Young Adult", A317&lt;60, "Senior Adult", A317&gt;=60, "Elderly")</f>
        <v>Senior Adult</v>
      </c>
    </row>
    <row r="318" spans="1:8" x14ac:dyDescent="0.25">
      <c r="A318" s="1">
        <v>50</v>
      </c>
      <c r="B318" t="s">
        <v>8</v>
      </c>
      <c r="C318" s="2">
        <v>32.200000000000003</v>
      </c>
      <c r="D318" s="1">
        <v>0</v>
      </c>
      <c r="E318" t="s">
        <v>10</v>
      </c>
      <c r="F318" t="s">
        <v>13</v>
      </c>
      <c r="G318" s="3">
        <v>8835.26</v>
      </c>
      <c r="H318" t="str" cm="1">
        <f t="array" ref="H318">_xlfn.IFS(A318&lt;13, "Child", A318&lt;20, "Teenager", A318&lt;40, "Young Adult", A318&lt;60, "Senior Adult", A318&gt;=60, "Elderly")</f>
        <v>Senior Adult</v>
      </c>
    </row>
    <row r="319" spans="1:8" x14ac:dyDescent="0.25">
      <c r="A319" s="1">
        <v>54</v>
      </c>
      <c r="B319" t="s">
        <v>8</v>
      </c>
      <c r="C319" s="2">
        <v>32.799999999999997</v>
      </c>
      <c r="D319" s="1">
        <v>0</v>
      </c>
      <c r="E319" t="s">
        <v>10</v>
      </c>
      <c r="F319" t="s">
        <v>14</v>
      </c>
      <c r="G319" s="3">
        <v>10435.07</v>
      </c>
      <c r="H319" t="str" cm="1">
        <f t="array" ref="H319">_xlfn.IFS(A319&lt;13, "Child", A319&lt;20, "Teenager", A319&lt;40, "Young Adult", A319&lt;60, "Senior Adult", A319&gt;=60, "Elderly")</f>
        <v>Senior Adult</v>
      </c>
    </row>
    <row r="320" spans="1:8" x14ac:dyDescent="0.25">
      <c r="A320" s="1">
        <v>44</v>
      </c>
      <c r="B320" t="s">
        <v>7</v>
      </c>
      <c r="C320" s="2">
        <v>27.6</v>
      </c>
      <c r="D320" s="1">
        <v>0</v>
      </c>
      <c r="E320" t="s">
        <v>10</v>
      </c>
      <c r="F320" t="s">
        <v>13</v>
      </c>
      <c r="G320" s="3">
        <v>7421.19</v>
      </c>
      <c r="H320" t="str" cm="1">
        <f t="array" ref="H320">_xlfn.IFS(A320&lt;13, "Child", A320&lt;20, "Teenager", A320&lt;40, "Young Adult", A320&lt;60, "Senior Adult", A320&gt;=60, "Elderly")</f>
        <v>Senior Adult</v>
      </c>
    </row>
    <row r="321" spans="1:8" x14ac:dyDescent="0.25">
      <c r="A321" s="1">
        <v>32</v>
      </c>
      <c r="B321" t="s">
        <v>8</v>
      </c>
      <c r="C321" s="2">
        <v>37.299999999999997</v>
      </c>
      <c r="D321" s="1">
        <v>1</v>
      </c>
      <c r="E321" t="s">
        <v>10</v>
      </c>
      <c r="F321" t="s">
        <v>14</v>
      </c>
      <c r="G321" s="3">
        <v>4667.6099999999997</v>
      </c>
      <c r="H321" t="str" cm="1">
        <f t="array" ref="H321">_xlfn.IFS(A321&lt;13, "Child", A321&lt;20, "Teenager", A321&lt;40, "Young Adult", A321&lt;60, "Senior Adult", A321&gt;=60, "Elderly")</f>
        <v>Young Adult</v>
      </c>
    </row>
    <row r="322" spans="1:8" x14ac:dyDescent="0.25">
      <c r="A322" s="1">
        <v>34</v>
      </c>
      <c r="B322" t="s">
        <v>8</v>
      </c>
      <c r="C322" s="2">
        <v>25.3</v>
      </c>
      <c r="D322" s="1">
        <v>1</v>
      </c>
      <c r="E322" t="s">
        <v>10</v>
      </c>
      <c r="F322" t="s">
        <v>13</v>
      </c>
      <c r="G322" s="3">
        <v>4894.75</v>
      </c>
      <c r="H322" t="str" cm="1">
        <f t="array" ref="H322">_xlfn.IFS(A322&lt;13, "Child", A322&lt;20, "Teenager", A322&lt;40, "Young Adult", A322&lt;60, "Senior Adult", A322&gt;=60, "Elderly")</f>
        <v>Young Adult</v>
      </c>
    </row>
    <row r="323" spans="1:8" x14ac:dyDescent="0.25">
      <c r="A323" s="1">
        <v>26</v>
      </c>
      <c r="B323" t="s">
        <v>7</v>
      </c>
      <c r="C323" s="2">
        <v>29.6</v>
      </c>
      <c r="D323" s="1">
        <v>4</v>
      </c>
      <c r="E323" t="s">
        <v>10</v>
      </c>
      <c r="F323" t="s">
        <v>14</v>
      </c>
      <c r="G323" s="3">
        <v>24671.66</v>
      </c>
      <c r="H323" t="str" cm="1">
        <f t="array" ref="H323">_xlfn.IFS(A323&lt;13, "Child", A323&lt;20, "Teenager", A323&lt;40, "Young Adult", A323&lt;60, "Senior Adult", A323&gt;=60, "Elderly")</f>
        <v>Young Adult</v>
      </c>
    </row>
    <row r="324" spans="1:8" x14ac:dyDescent="0.25">
      <c r="A324" s="1">
        <v>34</v>
      </c>
      <c r="B324" t="s">
        <v>8</v>
      </c>
      <c r="C324" s="2">
        <v>30.8</v>
      </c>
      <c r="D324" s="1">
        <v>0</v>
      </c>
      <c r="E324" t="s">
        <v>9</v>
      </c>
      <c r="F324" t="s">
        <v>11</v>
      </c>
      <c r="G324" s="3">
        <v>35491.64</v>
      </c>
      <c r="H324" t="str" cm="1">
        <f t="array" ref="H324">_xlfn.IFS(A324&lt;13, "Child", A324&lt;20, "Teenager", A324&lt;40, "Young Adult", A324&lt;60, "Senior Adult", A324&gt;=60, "Elderly")</f>
        <v>Young Adult</v>
      </c>
    </row>
    <row r="325" spans="1:8" x14ac:dyDescent="0.25">
      <c r="A325" s="1">
        <v>57</v>
      </c>
      <c r="B325" t="s">
        <v>8</v>
      </c>
      <c r="C325" s="2">
        <v>40.9</v>
      </c>
      <c r="D325" s="1">
        <v>0</v>
      </c>
      <c r="E325" t="s">
        <v>10</v>
      </c>
      <c r="F325" t="s">
        <v>14</v>
      </c>
      <c r="G325" s="3">
        <v>11566.3</v>
      </c>
      <c r="H325" t="str" cm="1">
        <f t="array" ref="H325">_xlfn.IFS(A325&lt;13, "Child", A325&lt;20, "Teenager", A325&lt;40, "Young Adult", A325&lt;60, "Senior Adult", A325&gt;=60, "Elderly")</f>
        <v>Senior Adult</v>
      </c>
    </row>
    <row r="326" spans="1:8" x14ac:dyDescent="0.25">
      <c r="A326" s="1">
        <v>29</v>
      </c>
      <c r="B326" t="s">
        <v>8</v>
      </c>
      <c r="C326" s="2">
        <v>27.2</v>
      </c>
      <c r="D326" s="1">
        <v>0</v>
      </c>
      <c r="E326" t="s">
        <v>10</v>
      </c>
      <c r="F326" t="s">
        <v>11</v>
      </c>
      <c r="G326" s="3">
        <v>2866.09</v>
      </c>
      <c r="H326" t="str" cm="1">
        <f t="array" ref="H326">_xlfn.IFS(A326&lt;13, "Child", A326&lt;20, "Teenager", A326&lt;40, "Young Adult", A326&lt;60, "Senior Adult", A326&gt;=60, "Elderly")</f>
        <v>Young Adult</v>
      </c>
    </row>
    <row r="327" spans="1:8" x14ac:dyDescent="0.25">
      <c r="A327" s="1">
        <v>40</v>
      </c>
      <c r="B327" t="s">
        <v>8</v>
      </c>
      <c r="C327" s="2">
        <v>34.1</v>
      </c>
      <c r="D327" s="1">
        <v>1</v>
      </c>
      <c r="E327" t="s">
        <v>10</v>
      </c>
      <c r="F327" t="s">
        <v>14</v>
      </c>
      <c r="G327" s="3">
        <v>6600.21</v>
      </c>
      <c r="H327" t="str" cm="1">
        <f t="array" ref="H327">_xlfn.IFS(A327&lt;13, "Child", A327&lt;20, "Teenager", A327&lt;40, "Young Adult", A327&lt;60, "Senior Adult", A327&gt;=60, "Elderly")</f>
        <v>Senior Adult</v>
      </c>
    </row>
    <row r="328" spans="1:8" x14ac:dyDescent="0.25">
      <c r="A328" s="1">
        <v>27</v>
      </c>
      <c r="B328" t="s">
        <v>7</v>
      </c>
      <c r="C328" s="2">
        <v>23.2</v>
      </c>
      <c r="D328" s="1">
        <v>1</v>
      </c>
      <c r="E328" t="s">
        <v>10</v>
      </c>
      <c r="F328" t="s">
        <v>12</v>
      </c>
      <c r="G328" s="3">
        <v>3561.89</v>
      </c>
      <c r="H328" t="str" cm="1">
        <f t="array" ref="H328">_xlfn.IFS(A328&lt;13, "Child", A328&lt;20, "Teenager", A328&lt;40, "Young Adult", A328&lt;60, "Senior Adult", A328&gt;=60, "Elderly")</f>
        <v>Young Adult</v>
      </c>
    </row>
    <row r="329" spans="1:8" x14ac:dyDescent="0.25">
      <c r="A329" s="1">
        <v>45</v>
      </c>
      <c r="B329" t="s">
        <v>8</v>
      </c>
      <c r="C329" s="2">
        <v>36.5</v>
      </c>
      <c r="D329" s="1">
        <v>2</v>
      </c>
      <c r="E329" t="s">
        <v>9</v>
      </c>
      <c r="F329" t="s">
        <v>13</v>
      </c>
      <c r="G329" s="3">
        <v>42760.5</v>
      </c>
      <c r="H329" t="str" cm="1">
        <f t="array" ref="H329">_xlfn.IFS(A329&lt;13, "Child", A329&lt;20, "Teenager", A329&lt;40, "Young Adult", A329&lt;60, "Senior Adult", A329&gt;=60, "Elderly")</f>
        <v>Senior Adult</v>
      </c>
    </row>
    <row r="330" spans="1:8" x14ac:dyDescent="0.25">
      <c r="A330" s="1">
        <v>64</v>
      </c>
      <c r="B330" t="s">
        <v>7</v>
      </c>
      <c r="C330" s="2">
        <v>33.799999999999997</v>
      </c>
      <c r="D330" s="1">
        <v>1</v>
      </c>
      <c r="E330" t="s">
        <v>9</v>
      </c>
      <c r="F330" t="s">
        <v>11</v>
      </c>
      <c r="G330" s="3">
        <v>47928.03</v>
      </c>
      <c r="H330" t="str" cm="1">
        <f t="array" ref="H330">_xlfn.IFS(A330&lt;13, "Child", A330&lt;20, "Teenager", A330&lt;40, "Young Adult", A330&lt;60, "Senior Adult", A330&gt;=60, "Elderly")</f>
        <v>Elderly</v>
      </c>
    </row>
    <row r="331" spans="1:8" x14ac:dyDescent="0.25">
      <c r="A331" s="1">
        <v>52</v>
      </c>
      <c r="B331" t="s">
        <v>8</v>
      </c>
      <c r="C331" s="2">
        <v>36.700000000000003</v>
      </c>
      <c r="D331" s="1">
        <v>0</v>
      </c>
      <c r="E331" t="s">
        <v>10</v>
      </c>
      <c r="F331" t="s">
        <v>11</v>
      </c>
      <c r="G331" s="3">
        <v>9144.57</v>
      </c>
      <c r="H331" t="str" cm="1">
        <f t="array" ref="H331">_xlfn.IFS(A331&lt;13, "Child", A331&lt;20, "Teenager", A331&lt;40, "Young Adult", A331&lt;60, "Senior Adult", A331&gt;=60, "Elderly")</f>
        <v>Senior Adult</v>
      </c>
    </row>
    <row r="332" spans="1:8" x14ac:dyDescent="0.25">
      <c r="A332" s="1">
        <v>61</v>
      </c>
      <c r="B332" t="s">
        <v>7</v>
      </c>
      <c r="C332" s="2">
        <v>36.4</v>
      </c>
      <c r="D332" s="1">
        <v>1</v>
      </c>
      <c r="E332" t="s">
        <v>9</v>
      </c>
      <c r="F332" t="s">
        <v>14</v>
      </c>
      <c r="G332" s="3">
        <v>48517.56</v>
      </c>
      <c r="H332" t="str" cm="1">
        <f t="array" ref="H332">_xlfn.IFS(A332&lt;13, "Child", A332&lt;20, "Teenager", A332&lt;40, "Young Adult", A332&lt;60, "Senior Adult", A332&gt;=60, "Elderly")</f>
        <v>Elderly</v>
      </c>
    </row>
    <row r="333" spans="1:8" x14ac:dyDescent="0.25">
      <c r="A333" s="1">
        <v>52</v>
      </c>
      <c r="B333" t="s">
        <v>8</v>
      </c>
      <c r="C333" s="2">
        <v>27.4</v>
      </c>
      <c r="D333" s="1">
        <v>0</v>
      </c>
      <c r="E333" t="s">
        <v>9</v>
      </c>
      <c r="F333" t="s">
        <v>13</v>
      </c>
      <c r="G333" s="3">
        <v>24393.62</v>
      </c>
      <c r="H333" t="str" cm="1">
        <f t="array" ref="H333">_xlfn.IFS(A333&lt;13, "Child", A333&lt;20, "Teenager", A333&lt;40, "Young Adult", A333&lt;60, "Senior Adult", A333&gt;=60, "Elderly")</f>
        <v>Senior Adult</v>
      </c>
    </row>
    <row r="334" spans="1:8" x14ac:dyDescent="0.25">
      <c r="A334" s="1">
        <v>61</v>
      </c>
      <c r="B334" t="s">
        <v>7</v>
      </c>
      <c r="C334" s="2">
        <v>31.2</v>
      </c>
      <c r="D334" s="1">
        <v>0</v>
      </c>
      <c r="E334" t="s">
        <v>10</v>
      </c>
      <c r="F334" t="s">
        <v>13</v>
      </c>
      <c r="G334" s="3">
        <v>13429.04</v>
      </c>
      <c r="H334" t="str" cm="1">
        <f t="array" ref="H334">_xlfn.IFS(A334&lt;13, "Child", A334&lt;20, "Teenager", A334&lt;40, "Young Adult", A334&lt;60, "Senior Adult", A334&gt;=60, "Elderly")</f>
        <v>Elderly</v>
      </c>
    </row>
    <row r="335" spans="1:8" x14ac:dyDescent="0.25">
      <c r="A335" s="1">
        <v>56</v>
      </c>
      <c r="B335" t="s">
        <v>7</v>
      </c>
      <c r="C335" s="2">
        <v>28.8</v>
      </c>
      <c r="D335" s="1">
        <v>0</v>
      </c>
      <c r="E335" t="s">
        <v>10</v>
      </c>
      <c r="F335" t="s">
        <v>14</v>
      </c>
      <c r="G335" s="3">
        <v>11658.38</v>
      </c>
      <c r="H335" t="str" cm="1">
        <f t="array" ref="H335">_xlfn.IFS(A335&lt;13, "Child", A335&lt;20, "Teenager", A335&lt;40, "Young Adult", A335&lt;60, "Senior Adult", A335&gt;=60, "Elderly")</f>
        <v>Senior Adult</v>
      </c>
    </row>
    <row r="336" spans="1:8" x14ac:dyDescent="0.25">
      <c r="A336" s="1">
        <v>43</v>
      </c>
      <c r="B336" t="s">
        <v>7</v>
      </c>
      <c r="C336" s="2">
        <v>35.700000000000003</v>
      </c>
      <c r="D336" s="1">
        <v>2</v>
      </c>
      <c r="E336" t="s">
        <v>10</v>
      </c>
      <c r="F336" t="s">
        <v>14</v>
      </c>
      <c r="G336" s="3">
        <v>19144.580000000002</v>
      </c>
      <c r="H336" t="str" cm="1">
        <f t="array" ref="H336">_xlfn.IFS(A336&lt;13, "Child", A336&lt;20, "Teenager", A336&lt;40, "Young Adult", A336&lt;60, "Senior Adult", A336&gt;=60, "Elderly")</f>
        <v>Senior Adult</v>
      </c>
    </row>
    <row r="337" spans="1:8" x14ac:dyDescent="0.25">
      <c r="A337" s="1">
        <v>64</v>
      </c>
      <c r="B337" t="s">
        <v>8</v>
      </c>
      <c r="C337" s="2">
        <v>34.5</v>
      </c>
      <c r="D337" s="1">
        <v>0</v>
      </c>
      <c r="E337" t="s">
        <v>10</v>
      </c>
      <c r="F337" t="s">
        <v>11</v>
      </c>
      <c r="G337" s="3">
        <v>13822.8</v>
      </c>
      <c r="H337" t="str" cm="1">
        <f t="array" ref="H337">_xlfn.IFS(A337&lt;13, "Child", A337&lt;20, "Teenager", A337&lt;40, "Young Adult", A337&lt;60, "Senior Adult", A337&gt;=60, "Elderly")</f>
        <v>Elderly</v>
      </c>
    </row>
    <row r="338" spans="1:8" x14ac:dyDescent="0.25">
      <c r="A338" s="1">
        <v>60</v>
      </c>
      <c r="B338" t="s">
        <v>8</v>
      </c>
      <c r="C338" s="2">
        <v>25.7</v>
      </c>
      <c r="D338" s="1">
        <v>0</v>
      </c>
      <c r="E338" t="s">
        <v>10</v>
      </c>
      <c r="F338" t="s">
        <v>12</v>
      </c>
      <c r="G338" s="3">
        <v>12142.58</v>
      </c>
      <c r="H338" t="str" cm="1">
        <f t="array" ref="H338">_xlfn.IFS(A338&lt;13, "Child", A338&lt;20, "Teenager", A338&lt;40, "Young Adult", A338&lt;60, "Senior Adult", A338&gt;=60, "Elderly")</f>
        <v>Elderly</v>
      </c>
    </row>
    <row r="339" spans="1:8" x14ac:dyDescent="0.25">
      <c r="A339" s="1">
        <v>62</v>
      </c>
      <c r="B339" t="s">
        <v>8</v>
      </c>
      <c r="C339" s="2">
        <v>27.6</v>
      </c>
      <c r="D339" s="1">
        <v>1</v>
      </c>
      <c r="E339" t="s">
        <v>10</v>
      </c>
      <c r="F339" t="s">
        <v>13</v>
      </c>
      <c r="G339" s="3">
        <v>13937.67</v>
      </c>
      <c r="H339" t="str" cm="1">
        <f t="array" ref="H339">_xlfn.IFS(A339&lt;13, "Child", A339&lt;20, "Teenager", A339&lt;40, "Young Adult", A339&lt;60, "Senior Adult", A339&gt;=60, "Elderly")</f>
        <v>Elderly</v>
      </c>
    </row>
    <row r="340" spans="1:8" x14ac:dyDescent="0.25">
      <c r="A340" s="1">
        <v>50</v>
      </c>
      <c r="B340" t="s">
        <v>8</v>
      </c>
      <c r="C340" s="2">
        <v>32.299999999999997</v>
      </c>
      <c r="D340" s="1">
        <v>1</v>
      </c>
      <c r="E340" t="s">
        <v>9</v>
      </c>
      <c r="F340" t="s">
        <v>14</v>
      </c>
      <c r="G340" s="3">
        <v>41919.1</v>
      </c>
      <c r="H340" t="str" cm="1">
        <f t="array" ref="H340">_xlfn.IFS(A340&lt;13, "Child", A340&lt;20, "Teenager", A340&lt;40, "Young Adult", A340&lt;60, "Senior Adult", A340&gt;=60, "Elderly")</f>
        <v>Senior Adult</v>
      </c>
    </row>
    <row r="341" spans="1:8" x14ac:dyDescent="0.25">
      <c r="A341" s="1">
        <v>46</v>
      </c>
      <c r="B341" t="s">
        <v>7</v>
      </c>
      <c r="C341" s="2">
        <v>27.7</v>
      </c>
      <c r="D341" s="1">
        <v>1</v>
      </c>
      <c r="E341" t="s">
        <v>10</v>
      </c>
      <c r="F341" t="s">
        <v>12</v>
      </c>
      <c r="G341" s="3">
        <v>8232.64</v>
      </c>
      <c r="H341" t="str" cm="1">
        <f t="array" ref="H341">_xlfn.IFS(A341&lt;13, "Child", A341&lt;20, "Teenager", A341&lt;40, "Young Adult", A341&lt;60, "Senior Adult", A341&gt;=60, "Elderly")</f>
        <v>Senior Adult</v>
      </c>
    </row>
    <row r="342" spans="1:8" x14ac:dyDescent="0.25">
      <c r="A342" s="1">
        <v>24</v>
      </c>
      <c r="B342" t="s">
        <v>7</v>
      </c>
      <c r="C342" s="2">
        <v>27.6</v>
      </c>
      <c r="D342" s="1">
        <v>0</v>
      </c>
      <c r="E342" t="s">
        <v>10</v>
      </c>
      <c r="F342" t="s">
        <v>11</v>
      </c>
      <c r="G342" s="3">
        <v>18955.22</v>
      </c>
      <c r="H342" t="str" cm="1">
        <f t="array" ref="H342">_xlfn.IFS(A342&lt;13, "Child", A342&lt;20, "Teenager", A342&lt;40, "Young Adult", A342&lt;60, "Senior Adult", A342&gt;=60, "Elderly")</f>
        <v>Young Adult</v>
      </c>
    </row>
    <row r="343" spans="1:8" x14ac:dyDescent="0.25">
      <c r="A343" s="1">
        <v>62</v>
      </c>
      <c r="B343" t="s">
        <v>8</v>
      </c>
      <c r="C343" s="2">
        <v>30</v>
      </c>
      <c r="D343" s="1">
        <v>0</v>
      </c>
      <c r="E343" t="s">
        <v>10</v>
      </c>
      <c r="F343" t="s">
        <v>13</v>
      </c>
      <c r="G343" s="3">
        <v>13352.1</v>
      </c>
      <c r="H343" t="str" cm="1">
        <f t="array" ref="H343">_xlfn.IFS(A343&lt;13, "Child", A343&lt;20, "Teenager", A343&lt;40, "Young Adult", A343&lt;60, "Senior Adult", A343&gt;=60, "Elderly")</f>
        <v>Elderly</v>
      </c>
    </row>
    <row r="344" spans="1:8" x14ac:dyDescent="0.25">
      <c r="A344" s="1">
        <v>60</v>
      </c>
      <c r="B344" t="s">
        <v>7</v>
      </c>
      <c r="C344" s="2">
        <v>27.6</v>
      </c>
      <c r="D344" s="1">
        <v>0</v>
      </c>
      <c r="E344" t="s">
        <v>10</v>
      </c>
      <c r="F344" t="s">
        <v>14</v>
      </c>
      <c r="G344" s="3">
        <v>13217.09</v>
      </c>
      <c r="H344" t="str" cm="1">
        <f t="array" ref="H344">_xlfn.IFS(A344&lt;13, "Child", A344&lt;20, "Teenager", A344&lt;40, "Young Adult", A344&lt;60, "Senior Adult", A344&gt;=60, "Elderly")</f>
        <v>Elderly</v>
      </c>
    </row>
    <row r="345" spans="1:8" x14ac:dyDescent="0.25">
      <c r="A345" s="1">
        <v>63</v>
      </c>
      <c r="B345" t="s">
        <v>8</v>
      </c>
      <c r="C345" s="2">
        <v>36.799999999999997</v>
      </c>
      <c r="D345" s="1">
        <v>0</v>
      </c>
      <c r="E345" t="s">
        <v>10</v>
      </c>
      <c r="F345" t="s">
        <v>14</v>
      </c>
      <c r="G345" s="3">
        <v>13981.85</v>
      </c>
      <c r="H345" t="str" cm="1">
        <f t="array" ref="H345">_xlfn.IFS(A345&lt;13, "Child", A345&lt;20, "Teenager", A345&lt;40, "Young Adult", A345&lt;60, "Senior Adult", A345&gt;=60, "Elderly")</f>
        <v>Elderly</v>
      </c>
    </row>
    <row r="346" spans="1:8" x14ac:dyDescent="0.25">
      <c r="A346" s="1">
        <v>49</v>
      </c>
      <c r="B346" t="s">
        <v>7</v>
      </c>
      <c r="C346" s="2">
        <v>41.5</v>
      </c>
      <c r="D346" s="1">
        <v>4</v>
      </c>
      <c r="E346" t="s">
        <v>10</v>
      </c>
      <c r="F346" t="s">
        <v>12</v>
      </c>
      <c r="G346" s="3">
        <v>10977.21</v>
      </c>
      <c r="H346" t="str" cm="1">
        <f t="array" ref="H346">_xlfn.IFS(A346&lt;13, "Child", A346&lt;20, "Teenager", A346&lt;40, "Young Adult", A346&lt;60, "Senior Adult", A346&gt;=60, "Elderly")</f>
        <v>Senior Adult</v>
      </c>
    </row>
    <row r="347" spans="1:8" x14ac:dyDescent="0.25">
      <c r="A347" s="1">
        <v>34</v>
      </c>
      <c r="B347" t="s">
        <v>7</v>
      </c>
      <c r="C347" s="2">
        <v>29.3</v>
      </c>
      <c r="D347" s="1">
        <v>3</v>
      </c>
      <c r="E347" t="s">
        <v>10</v>
      </c>
      <c r="F347" t="s">
        <v>12</v>
      </c>
      <c r="G347" s="3">
        <v>6184.3</v>
      </c>
      <c r="H347" t="str" cm="1">
        <f t="array" ref="H347">_xlfn.IFS(A347&lt;13, "Child", A347&lt;20, "Teenager", A347&lt;40, "Young Adult", A347&lt;60, "Senior Adult", A347&gt;=60, "Elderly")</f>
        <v>Young Adult</v>
      </c>
    </row>
    <row r="348" spans="1:8" x14ac:dyDescent="0.25">
      <c r="A348" s="1">
        <v>33</v>
      </c>
      <c r="B348" t="s">
        <v>8</v>
      </c>
      <c r="C348" s="2">
        <v>35.799999999999997</v>
      </c>
      <c r="D348" s="1">
        <v>2</v>
      </c>
      <c r="E348" t="s">
        <v>10</v>
      </c>
      <c r="F348" t="s">
        <v>12</v>
      </c>
      <c r="G348" s="3">
        <v>4890</v>
      </c>
      <c r="H348" t="str" cm="1">
        <f t="array" ref="H348">_xlfn.IFS(A348&lt;13, "Child", A348&lt;20, "Teenager", A348&lt;40, "Young Adult", A348&lt;60, "Senior Adult", A348&gt;=60, "Elderly")</f>
        <v>Young Adult</v>
      </c>
    </row>
    <row r="349" spans="1:8" x14ac:dyDescent="0.25">
      <c r="A349" s="1">
        <v>46</v>
      </c>
      <c r="B349" t="s">
        <v>8</v>
      </c>
      <c r="C349" s="2">
        <v>33.299999999999997</v>
      </c>
      <c r="D349" s="1">
        <v>1</v>
      </c>
      <c r="E349" t="s">
        <v>10</v>
      </c>
      <c r="F349" t="s">
        <v>14</v>
      </c>
      <c r="G349" s="3">
        <v>8334.4599999999991</v>
      </c>
      <c r="H349" t="str" cm="1">
        <f t="array" ref="H349">_xlfn.IFS(A349&lt;13, "Child", A349&lt;20, "Teenager", A349&lt;40, "Young Adult", A349&lt;60, "Senior Adult", A349&gt;=60, "Elderly")</f>
        <v>Senior Adult</v>
      </c>
    </row>
    <row r="350" spans="1:8" x14ac:dyDescent="0.25">
      <c r="A350" s="1">
        <v>36</v>
      </c>
      <c r="B350" t="s">
        <v>7</v>
      </c>
      <c r="C350" s="2">
        <v>29.9</v>
      </c>
      <c r="D350" s="1">
        <v>1</v>
      </c>
      <c r="E350" t="s">
        <v>10</v>
      </c>
      <c r="F350" t="s">
        <v>12</v>
      </c>
      <c r="G350" s="3">
        <v>5478.04</v>
      </c>
      <c r="H350" t="str" cm="1">
        <f t="array" ref="H350">_xlfn.IFS(A350&lt;13, "Child", A350&lt;20, "Teenager", A350&lt;40, "Young Adult", A350&lt;60, "Senior Adult", A350&gt;=60, "Elderly")</f>
        <v>Young Adult</v>
      </c>
    </row>
    <row r="351" spans="1:8" x14ac:dyDescent="0.25">
      <c r="A351" s="1">
        <v>19</v>
      </c>
      <c r="B351" t="s">
        <v>8</v>
      </c>
      <c r="C351" s="2">
        <v>27.8</v>
      </c>
      <c r="D351" s="1">
        <v>0</v>
      </c>
      <c r="E351" t="s">
        <v>10</v>
      </c>
      <c r="F351" t="s">
        <v>13</v>
      </c>
      <c r="G351" s="3">
        <v>1635.73</v>
      </c>
      <c r="H351" t="str" cm="1">
        <f t="array" ref="H351">_xlfn.IFS(A351&lt;13, "Child", A351&lt;20, "Teenager", A351&lt;40, "Young Adult", A351&lt;60, "Senior Adult", A351&gt;=60, "Elderly")</f>
        <v>Teenager</v>
      </c>
    </row>
    <row r="352" spans="1:8" x14ac:dyDescent="0.25">
      <c r="A352" s="1">
        <v>57</v>
      </c>
      <c r="B352" t="s">
        <v>7</v>
      </c>
      <c r="C352" s="2">
        <v>23.2</v>
      </c>
      <c r="D352" s="1">
        <v>0</v>
      </c>
      <c r="E352" t="s">
        <v>10</v>
      </c>
      <c r="F352" t="s">
        <v>13</v>
      </c>
      <c r="G352" s="3">
        <v>11830.61</v>
      </c>
      <c r="H352" t="str" cm="1">
        <f t="array" ref="H352">_xlfn.IFS(A352&lt;13, "Child", A352&lt;20, "Teenager", A352&lt;40, "Young Adult", A352&lt;60, "Senior Adult", A352&gt;=60, "Elderly")</f>
        <v>Senior Adult</v>
      </c>
    </row>
    <row r="353" spans="1:8" x14ac:dyDescent="0.25">
      <c r="A353" s="1">
        <v>50</v>
      </c>
      <c r="B353" t="s">
        <v>7</v>
      </c>
      <c r="C353" s="2">
        <v>25.6</v>
      </c>
      <c r="D353" s="1">
        <v>0</v>
      </c>
      <c r="E353" t="s">
        <v>10</v>
      </c>
      <c r="F353" t="s">
        <v>11</v>
      </c>
      <c r="G353" s="3">
        <v>8932.08</v>
      </c>
      <c r="H353" t="str" cm="1">
        <f t="array" ref="H353">_xlfn.IFS(A353&lt;13, "Child", A353&lt;20, "Teenager", A353&lt;40, "Young Adult", A353&lt;60, "Senior Adult", A353&gt;=60, "Elderly")</f>
        <v>Senior Adult</v>
      </c>
    </row>
    <row r="354" spans="1:8" x14ac:dyDescent="0.25">
      <c r="A354" s="1">
        <v>30</v>
      </c>
      <c r="B354" t="s">
        <v>7</v>
      </c>
      <c r="C354" s="2">
        <v>27.7</v>
      </c>
      <c r="D354" s="1">
        <v>0</v>
      </c>
      <c r="E354" t="s">
        <v>10</v>
      </c>
      <c r="F354" t="s">
        <v>11</v>
      </c>
      <c r="G354" s="3">
        <v>3554.2</v>
      </c>
      <c r="H354" t="str" cm="1">
        <f t="array" ref="H354">_xlfn.IFS(A354&lt;13, "Child", A354&lt;20, "Teenager", A354&lt;40, "Young Adult", A354&lt;60, "Senior Adult", A354&gt;=60, "Elderly")</f>
        <v>Young Adult</v>
      </c>
    </row>
    <row r="355" spans="1:8" x14ac:dyDescent="0.25">
      <c r="A355" s="1">
        <v>33</v>
      </c>
      <c r="B355" t="s">
        <v>8</v>
      </c>
      <c r="C355" s="2">
        <v>35.200000000000003</v>
      </c>
      <c r="D355" s="1">
        <v>0</v>
      </c>
      <c r="E355" t="s">
        <v>10</v>
      </c>
      <c r="F355" t="s">
        <v>14</v>
      </c>
      <c r="G355" s="3">
        <v>12404.88</v>
      </c>
      <c r="H355" t="str" cm="1">
        <f t="array" ref="H355">_xlfn.IFS(A355&lt;13, "Child", A355&lt;20, "Teenager", A355&lt;40, "Young Adult", A355&lt;60, "Senior Adult", A355&gt;=60, "Elderly")</f>
        <v>Young Adult</v>
      </c>
    </row>
    <row r="356" spans="1:8" x14ac:dyDescent="0.25">
      <c r="A356" s="1">
        <v>18</v>
      </c>
      <c r="B356" t="s">
        <v>7</v>
      </c>
      <c r="C356" s="2">
        <v>38.299999999999997</v>
      </c>
      <c r="D356" s="1">
        <v>0</v>
      </c>
      <c r="E356" t="s">
        <v>10</v>
      </c>
      <c r="F356" t="s">
        <v>12</v>
      </c>
      <c r="G356" s="3">
        <v>14133.04</v>
      </c>
      <c r="H356" t="str" cm="1">
        <f t="array" ref="H356">_xlfn.IFS(A356&lt;13, "Child", A356&lt;20, "Teenager", A356&lt;40, "Young Adult", A356&lt;60, "Senior Adult", A356&gt;=60, "Elderly")</f>
        <v>Teenager</v>
      </c>
    </row>
    <row r="357" spans="1:8" x14ac:dyDescent="0.25">
      <c r="A357" s="1">
        <v>46</v>
      </c>
      <c r="B357" t="s">
        <v>8</v>
      </c>
      <c r="C357" s="2">
        <v>27.6</v>
      </c>
      <c r="D357" s="1">
        <v>0</v>
      </c>
      <c r="E357" t="s">
        <v>10</v>
      </c>
      <c r="F357" t="s">
        <v>11</v>
      </c>
      <c r="G357" s="3">
        <v>24603.05</v>
      </c>
      <c r="H357" t="str" cm="1">
        <f t="array" ref="H357">_xlfn.IFS(A357&lt;13, "Child", A357&lt;20, "Teenager", A357&lt;40, "Young Adult", A357&lt;60, "Senior Adult", A357&gt;=60, "Elderly")</f>
        <v>Senior Adult</v>
      </c>
    </row>
    <row r="358" spans="1:8" x14ac:dyDescent="0.25">
      <c r="A358" s="1">
        <v>46</v>
      </c>
      <c r="B358" t="s">
        <v>8</v>
      </c>
      <c r="C358" s="2">
        <v>43.9</v>
      </c>
      <c r="D358" s="1">
        <v>3</v>
      </c>
      <c r="E358" t="s">
        <v>10</v>
      </c>
      <c r="F358" t="s">
        <v>12</v>
      </c>
      <c r="G358" s="3">
        <v>8944.1200000000008</v>
      </c>
      <c r="H358" t="str" cm="1">
        <f t="array" ref="H358">_xlfn.IFS(A358&lt;13, "Child", A358&lt;20, "Teenager", A358&lt;40, "Young Adult", A358&lt;60, "Senior Adult", A358&gt;=60, "Elderly")</f>
        <v>Senior Adult</v>
      </c>
    </row>
    <row r="359" spans="1:8" x14ac:dyDescent="0.25">
      <c r="A359" s="1">
        <v>47</v>
      </c>
      <c r="B359" t="s">
        <v>8</v>
      </c>
      <c r="C359" s="2">
        <v>29.8</v>
      </c>
      <c r="D359" s="1">
        <v>3</v>
      </c>
      <c r="E359" t="s">
        <v>10</v>
      </c>
      <c r="F359" t="s">
        <v>13</v>
      </c>
      <c r="G359" s="3">
        <v>9620.33</v>
      </c>
      <c r="H359" t="str" cm="1">
        <f t="array" ref="H359">_xlfn.IFS(A359&lt;13, "Child", A359&lt;20, "Teenager", A359&lt;40, "Young Adult", A359&lt;60, "Senior Adult", A359&gt;=60, "Elderly")</f>
        <v>Senior Adult</v>
      </c>
    </row>
    <row r="360" spans="1:8" x14ac:dyDescent="0.25">
      <c r="A360" s="1">
        <v>23</v>
      </c>
      <c r="B360" t="s">
        <v>8</v>
      </c>
      <c r="C360" s="2">
        <v>41.9</v>
      </c>
      <c r="D360" s="1">
        <v>0</v>
      </c>
      <c r="E360" t="s">
        <v>10</v>
      </c>
      <c r="F360" t="s">
        <v>12</v>
      </c>
      <c r="G360" s="3">
        <v>1837.28</v>
      </c>
      <c r="H360" t="str" cm="1">
        <f t="array" ref="H360">_xlfn.IFS(A360&lt;13, "Child", A360&lt;20, "Teenager", A360&lt;40, "Young Adult", A360&lt;60, "Senior Adult", A360&gt;=60, "Elderly")</f>
        <v>Young Adult</v>
      </c>
    </row>
    <row r="361" spans="1:8" x14ac:dyDescent="0.25">
      <c r="A361" s="1">
        <v>18</v>
      </c>
      <c r="B361" t="s">
        <v>7</v>
      </c>
      <c r="C361" s="2">
        <v>20.8</v>
      </c>
      <c r="D361" s="1">
        <v>0</v>
      </c>
      <c r="E361" t="s">
        <v>10</v>
      </c>
      <c r="F361" t="s">
        <v>12</v>
      </c>
      <c r="G361" s="3">
        <v>1607.51</v>
      </c>
      <c r="H361" t="str" cm="1">
        <f t="array" ref="H361">_xlfn.IFS(A361&lt;13, "Child", A361&lt;20, "Teenager", A361&lt;40, "Young Adult", A361&lt;60, "Senior Adult", A361&gt;=60, "Elderly")</f>
        <v>Teenager</v>
      </c>
    </row>
    <row r="362" spans="1:8" x14ac:dyDescent="0.25">
      <c r="A362" s="1">
        <v>48</v>
      </c>
      <c r="B362" t="s">
        <v>7</v>
      </c>
      <c r="C362" s="2">
        <v>32.299999999999997</v>
      </c>
      <c r="D362" s="1">
        <v>2</v>
      </c>
      <c r="E362" t="s">
        <v>10</v>
      </c>
      <c r="F362" t="s">
        <v>14</v>
      </c>
      <c r="G362" s="3">
        <v>10043.25</v>
      </c>
      <c r="H362" t="str" cm="1">
        <f t="array" ref="H362">_xlfn.IFS(A362&lt;13, "Child", A362&lt;20, "Teenager", A362&lt;40, "Young Adult", A362&lt;60, "Senior Adult", A362&gt;=60, "Elderly")</f>
        <v>Senior Adult</v>
      </c>
    </row>
    <row r="363" spans="1:8" x14ac:dyDescent="0.25">
      <c r="A363" s="1">
        <v>35</v>
      </c>
      <c r="B363" t="s">
        <v>8</v>
      </c>
      <c r="C363" s="2">
        <v>30.5</v>
      </c>
      <c r="D363" s="1">
        <v>1</v>
      </c>
      <c r="E363" t="s">
        <v>10</v>
      </c>
      <c r="F363" t="s">
        <v>11</v>
      </c>
      <c r="G363" s="3">
        <v>4751.07</v>
      </c>
      <c r="H363" t="str" cm="1">
        <f t="array" ref="H363">_xlfn.IFS(A363&lt;13, "Child", A363&lt;20, "Teenager", A363&lt;40, "Young Adult", A363&lt;60, "Senior Adult", A363&gt;=60, "Elderly")</f>
        <v>Young Adult</v>
      </c>
    </row>
    <row r="364" spans="1:8" x14ac:dyDescent="0.25">
      <c r="A364" s="1">
        <v>19</v>
      </c>
      <c r="B364" t="s">
        <v>7</v>
      </c>
      <c r="C364" s="2">
        <v>21.7</v>
      </c>
      <c r="D364" s="1">
        <v>0</v>
      </c>
      <c r="E364" t="s">
        <v>9</v>
      </c>
      <c r="F364" t="s">
        <v>11</v>
      </c>
      <c r="G364" s="3">
        <v>13844.51</v>
      </c>
      <c r="H364" t="str" cm="1">
        <f t="array" ref="H364">_xlfn.IFS(A364&lt;13, "Child", A364&lt;20, "Teenager", A364&lt;40, "Young Adult", A364&lt;60, "Senior Adult", A364&gt;=60, "Elderly")</f>
        <v>Teenager</v>
      </c>
    </row>
    <row r="365" spans="1:8" x14ac:dyDescent="0.25">
      <c r="A365" s="1">
        <v>21</v>
      </c>
      <c r="B365" t="s">
        <v>7</v>
      </c>
      <c r="C365" s="2">
        <v>26.4</v>
      </c>
      <c r="D365" s="1">
        <v>1</v>
      </c>
      <c r="E365" t="s">
        <v>10</v>
      </c>
      <c r="F365" t="s">
        <v>11</v>
      </c>
      <c r="G365" s="3">
        <v>2597.7800000000002</v>
      </c>
      <c r="H365" t="str" cm="1">
        <f t="array" ref="H365">_xlfn.IFS(A365&lt;13, "Child", A365&lt;20, "Teenager", A365&lt;40, "Young Adult", A365&lt;60, "Senior Adult", A365&gt;=60, "Elderly")</f>
        <v>Young Adult</v>
      </c>
    </row>
    <row r="366" spans="1:8" x14ac:dyDescent="0.25">
      <c r="A366" s="1">
        <v>21</v>
      </c>
      <c r="B366" t="s">
        <v>7</v>
      </c>
      <c r="C366" s="2">
        <v>21.9</v>
      </c>
      <c r="D366" s="1">
        <v>2</v>
      </c>
      <c r="E366" t="s">
        <v>10</v>
      </c>
      <c r="F366" t="s">
        <v>12</v>
      </c>
      <c r="G366" s="3">
        <v>3180.51</v>
      </c>
      <c r="H366" t="str" cm="1">
        <f t="array" ref="H366">_xlfn.IFS(A366&lt;13, "Child", A366&lt;20, "Teenager", A366&lt;40, "Young Adult", A366&lt;60, "Senior Adult", A366&gt;=60, "Elderly")</f>
        <v>Young Adult</v>
      </c>
    </row>
    <row r="367" spans="1:8" x14ac:dyDescent="0.25">
      <c r="A367" s="1">
        <v>49</v>
      </c>
      <c r="B367" t="s">
        <v>7</v>
      </c>
      <c r="C367" s="2">
        <v>30.8</v>
      </c>
      <c r="D367" s="1">
        <v>1</v>
      </c>
      <c r="E367" t="s">
        <v>10</v>
      </c>
      <c r="F367" t="s">
        <v>14</v>
      </c>
      <c r="G367" s="3">
        <v>9778.35</v>
      </c>
      <c r="H367" t="str" cm="1">
        <f t="array" ref="H367">_xlfn.IFS(A367&lt;13, "Child", A367&lt;20, "Teenager", A367&lt;40, "Young Adult", A367&lt;60, "Senior Adult", A367&gt;=60, "Elderly")</f>
        <v>Senior Adult</v>
      </c>
    </row>
    <row r="368" spans="1:8" x14ac:dyDescent="0.25">
      <c r="A368" s="1">
        <v>56</v>
      </c>
      <c r="B368" t="s">
        <v>7</v>
      </c>
      <c r="C368" s="2">
        <v>32.299999999999997</v>
      </c>
      <c r="D368" s="1">
        <v>3</v>
      </c>
      <c r="E368" t="s">
        <v>10</v>
      </c>
      <c r="F368" t="s">
        <v>14</v>
      </c>
      <c r="G368" s="3">
        <v>13430.27</v>
      </c>
      <c r="H368" t="str" cm="1">
        <f t="array" ref="H368">_xlfn.IFS(A368&lt;13, "Child", A368&lt;20, "Teenager", A368&lt;40, "Young Adult", A368&lt;60, "Senior Adult", A368&gt;=60, "Elderly")</f>
        <v>Senior Adult</v>
      </c>
    </row>
    <row r="369" spans="1:8" x14ac:dyDescent="0.25">
      <c r="A369" s="1">
        <v>42</v>
      </c>
      <c r="B369" t="s">
        <v>7</v>
      </c>
      <c r="C369" s="2">
        <v>25</v>
      </c>
      <c r="D369" s="1">
        <v>2</v>
      </c>
      <c r="E369" t="s">
        <v>10</v>
      </c>
      <c r="F369" t="s">
        <v>13</v>
      </c>
      <c r="G369" s="3">
        <v>8017.06</v>
      </c>
      <c r="H369" t="str" cm="1">
        <f t="array" ref="H369">_xlfn.IFS(A369&lt;13, "Child", A369&lt;20, "Teenager", A369&lt;40, "Young Adult", A369&lt;60, "Senior Adult", A369&gt;=60, "Elderly")</f>
        <v>Senior Adult</v>
      </c>
    </row>
    <row r="370" spans="1:8" x14ac:dyDescent="0.25">
      <c r="A370" s="1">
        <v>44</v>
      </c>
      <c r="B370" t="s">
        <v>8</v>
      </c>
      <c r="C370" s="2">
        <v>32</v>
      </c>
      <c r="D370" s="1">
        <v>2</v>
      </c>
      <c r="E370" t="s">
        <v>10</v>
      </c>
      <c r="F370" t="s">
        <v>13</v>
      </c>
      <c r="G370" s="3">
        <v>8116.27</v>
      </c>
      <c r="H370" t="str" cm="1">
        <f t="array" ref="H370">_xlfn.IFS(A370&lt;13, "Child", A370&lt;20, "Teenager", A370&lt;40, "Young Adult", A370&lt;60, "Senior Adult", A370&gt;=60, "Elderly")</f>
        <v>Senior Adult</v>
      </c>
    </row>
    <row r="371" spans="1:8" x14ac:dyDescent="0.25">
      <c r="A371" s="1">
        <v>18</v>
      </c>
      <c r="B371" t="s">
        <v>8</v>
      </c>
      <c r="C371" s="2">
        <v>30.4</v>
      </c>
      <c r="D371" s="1">
        <v>3</v>
      </c>
      <c r="E371" t="s">
        <v>10</v>
      </c>
      <c r="F371" t="s">
        <v>14</v>
      </c>
      <c r="G371" s="3">
        <v>3481.87</v>
      </c>
      <c r="H371" t="str" cm="1">
        <f t="array" ref="H371">_xlfn.IFS(A371&lt;13, "Child", A371&lt;20, "Teenager", A371&lt;40, "Young Adult", A371&lt;60, "Senior Adult", A371&gt;=60, "Elderly")</f>
        <v>Teenager</v>
      </c>
    </row>
    <row r="372" spans="1:8" x14ac:dyDescent="0.25">
      <c r="A372" s="1">
        <v>61</v>
      </c>
      <c r="B372" t="s">
        <v>7</v>
      </c>
      <c r="C372" s="2">
        <v>21.1</v>
      </c>
      <c r="D372" s="1">
        <v>0</v>
      </c>
      <c r="E372" t="s">
        <v>10</v>
      </c>
      <c r="F372" t="s">
        <v>13</v>
      </c>
      <c r="G372" s="3">
        <v>13415.04</v>
      </c>
      <c r="H372" t="str" cm="1">
        <f t="array" ref="H372">_xlfn.IFS(A372&lt;13, "Child", A372&lt;20, "Teenager", A372&lt;40, "Young Adult", A372&lt;60, "Senior Adult", A372&gt;=60, "Elderly")</f>
        <v>Elderly</v>
      </c>
    </row>
    <row r="373" spans="1:8" x14ac:dyDescent="0.25">
      <c r="A373" s="1">
        <v>57</v>
      </c>
      <c r="B373" t="s">
        <v>7</v>
      </c>
      <c r="C373" s="2">
        <v>22.2</v>
      </c>
      <c r="D373" s="1">
        <v>0</v>
      </c>
      <c r="E373" t="s">
        <v>10</v>
      </c>
      <c r="F373" t="s">
        <v>14</v>
      </c>
      <c r="G373" s="3">
        <v>12029.29</v>
      </c>
      <c r="H373" t="str" cm="1">
        <f t="array" ref="H373">_xlfn.IFS(A373&lt;13, "Child", A373&lt;20, "Teenager", A373&lt;40, "Young Adult", A373&lt;60, "Senior Adult", A373&gt;=60, "Elderly")</f>
        <v>Senior Adult</v>
      </c>
    </row>
    <row r="374" spans="1:8" x14ac:dyDescent="0.25">
      <c r="A374" s="1">
        <v>42</v>
      </c>
      <c r="B374" t="s">
        <v>7</v>
      </c>
      <c r="C374" s="2">
        <v>33.200000000000003</v>
      </c>
      <c r="D374" s="1">
        <v>1</v>
      </c>
      <c r="E374" t="s">
        <v>10</v>
      </c>
      <c r="F374" t="s">
        <v>14</v>
      </c>
      <c r="G374" s="3">
        <v>7639.42</v>
      </c>
      <c r="H374" t="str" cm="1">
        <f t="array" ref="H374">_xlfn.IFS(A374&lt;13, "Child", A374&lt;20, "Teenager", A374&lt;40, "Young Adult", A374&lt;60, "Senior Adult", A374&gt;=60, "Elderly")</f>
        <v>Senior Adult</v>
      </c>
    </row>
    <row r="375" spans="1:8" x14ac:dyDescent="0.25">
      <c r="A375" s="1">
        <v>26</v>
      </c>
      <c r="B375" t="s">
        <v>8</v>
      </c>
      <c r="C375" s="2">
        <v>32.9</v>
      </c>
      <c r="D375" s="1">
        <v>2</v>
      </c>
      <c r="E375" t="s">
        <v>9</v>
      </c>
      <c r="F375" t="s">
        <v>11</v>
      </c>
      <c r="G375" s="3">
        <v>36085.22</v>
      </c>
      <c r="H375" t="str" cm="1">
        <f t="array" ref="H375">_xlfn.IFS(A375&lt;13, "Child", A375&lt;20, "Teenager", A375&lt;40, "Young Adult", A375&lt;60, "Senior Adult", A375&gt;=60, "Elderly")</f>
        <v>Young Adult</v>
      </c>
    </row>
    <row r="376" spans="1:8" x14ac:dyDescent="0.25">
      <c r="A376" s="1">
        <v>20</v>
      </c>
      <c r="B376" t="s">
        <v>8</v>
      </c>
      <c r="C376" s="2">
        <v>33.299999999999997</v>
      </c>
      <c r="D376" s="1">
        <v>0</v>
      </c>
      <c r="E376" t="s">
        <v>10</v>
      </c>
      <c r="F376" t="s">
        <v>12</v>
      </c>
      <c r="G376" s="3">
        <v>1391.53</v>
      </c>
      <c r="H376" t="str" cm="1">
        <f t="array" ref="H376">_xlfn.IFS(A376&lt;13, "Child", A376&lt;20, "Teenager", A376&lt;40, "Young Adult", A376&lt;60, "Senior Adult", A376&gt;=60, "Elderly")</f>
        <v>Young Adult</v>
      </c>
    </row>
    <row r="377" spans="1:8" x14ac:dyDescent="0.25">
      <c r="A377" s="1">
        <v>23</v>
      </c>
      <c r="B377" t="s">
        <v>7</v>
      </c>
      <c r="C377" s="2">
        <v>28.3</v>
      </c>
      <c r="D377" s="1">
        <v>0</v>
      </c>
      <c r="E377" t="s">
        <v>9</v>
      </c>
      <c r="F377" t="s">
        <v>13</v>
      </c>
      <c r="G377" s="3">
        <v>18033.97</v>
      </c>
      <c r="H377" t="str" cm="1">
        <f t="array" ref="H377">_xlfn.IFS(A377&lt;13, "Child", A377&lt;20, "Teenager", A377&lt;40, "Young Adult", A377&lt;60, "Senior Adult", A377&gt;=60, "Elderly")</f>
        <v>Young Adult</v>
      </c>
    </row>
    <row r="378" spans="1:8" x14ac:dyDescent="0.25">
      <c r="A378" s="1">
        <v>39</v>
      </c>
      <c r="B378" t="s">
        <v>7</v>
      </c>
      <c r="C378" s="2">
        <v>24.9</v>
      </c>
      <c r="D378" s="1">
        <v>3</v>
      </c>
      <c r="E378" t="s">
        <v>9</v>
      </c>
      <c r="F378" t="s">
        <v>14</v>
      </c>
      <c r="G378" s="3">
        <v>21659.93</v>
      </c>
      <c r="H378" t="str" cm="1">
        <f t="array" ref="H378">_xlfn.IFS(A378&lt;13, "Child", A378&lt;20, "Teenager", A378&lt;40, "Young Adult", A378&lt;60, "Senior Adult", A378&gt;=60, "Elderly")</f>
        <v>Young Adult</v>
      </c>
    </row>
    <row r="379" spans="1:8" x14ac:dyDescent="0.25">
      <c r="A379" s="1">
        <v>24</v>
      </c>
      <c r="B379" t="s">
        <v>8</v>
      </c>
      <c r="C379" s="2">
        <v>40.200000000000003</v>
      </c>
      <c r="D379" s="1">
        <v>0</v>
      </c>
      <c r="E379" t="s">
        <v>9</v>
      </c>
      <c r="F379" t="s">
        <v>12</v>
      </c>
      <c r="G379" s="3">
        <v>38126.25</v>
      </c>
      <c r="H379" t="str" cm="1">
        <f t="array" ref="H379">_xlfn.IFS(A379&lt;13, "Child", A379&lt;20, "Teenager", A379&lt;40, "Young Adult", A379&lt;60, "Senior Adult", A379&gt;=60, "Elderly")</f>
        <v>Young Adult</v>
      </c>
    </row>
    <row r="380" spans="1:8" x14ac:dyDescent="0.25">
      <c r="A380" s="1">
        <v>64</v>
      </c>
      <c r="B380" t="s">
        <v>7</v>
      </c>
      <c r="C380" s="2">
        <v>30.1</v>
      </c>
      <c r="D380" s="1">
        <v>3</v>
      </c>
      <c r="E380" t="s">
        <v>10</v>
      </c>
      <c r="F380" t="s">
        <v>13</v>
      </c>
      <c r="G380" s="3">
        <v>16455.71</v>
      </c>
      <c r="H380" t="str" cm="1">
        <f t="array" ref="H380">_xlfn.IFS(A380&lt;13, "Child", A380&lt;20, "Teenager", A380&lt;40, "Young Adult", A380&lt;60, "Senior Adult", A380&gt;=60, "Elderly")</f>
        <v>Elderly</v>
      </c>
    </row>
    <row r="381" spans="1:8" x14ac:dyDescent="0.25">
      <c r="A381" s="1">
        <v>62</v>
      </c>
      <c r="B381" t="s">
        <v>8</v>
      </c>
      <c r="C381" s="2">
        <v>31.5</v>
      </c>
      <c r="D381" s="1">
        <v>1</v>
      </c>
      <c r="E381" t="s">
        <v>10</v>
      </c>
      <c r="F381" t="s">
        <v>12</v>
      </c>
      <c r="G381" s="3">
        <v>27000.98</v>
      </c>
      <c r="H381" t="str" cm="1">
        <f t="array" ref="H381">_xlfn.IFS(A381&lt;13, "Child", A381&lt;20, "Teenager", A381&lt;40, "Young Adult", A381&lt;60, "Senior Adult", A381&gt;=60, "Elderly")</f>
        <v>Elderly</v>
      </c>
    </row>
    <row r="382" spans="1:8" x14ac:dyDescent="0.25">
      <c r="A382" s="1">
        <v>27</v>
      </c>
      <c r="B382" t="s">
        <v>7</v>
      </c>
      <c r="C382" s="2">
        <v>18</v>
      </c>
      <c r="D382" s="1">
        <v>2</v>
      </c>
      <c r="E382" t="s">
        <v>9</v>
      </c>
      <c r="F382" t="s">
        <v>14</v>
      </c>
      <c r="G382" s="3">
        <v>15006.58</v>
      </c>
      <c r="H382" t="str" cm="1">
        <f t="array" ref="H382">_xlfn.IFS(A382&lt;13, "Child", A382&lt;20, "Teenager", A382&lt;40, "Young Adult", A382&lt;60, "Senior Adult", A382&gt;=60, "Elderly")</f>
        <v>Young Adult</v>
      </c>
    </row>
    <row r="383" spans="1:8" x14ac:dyDescent="0.25">
      <c r="A383" s="1">
        <v>55</v>
      </c>
      <c r="B383" t="s">
        <v>8</v>
      </c>
      <c r="C383" s="2">
        <v>30.7</v>
      </c>
      <c r="D383" s="1">
        <v>0</v>
      </c>
      <c r="E383" t="s">
        <v>9</v>
      </c>
      <c r="F383" t="s">
        <v>14</v>
      </c>
      <c r="G383" s="3">
        <v>42303.69</v>
      </c>
      <c r="H383" t="str" cm="1">
        <f t="array" ref="H383">_xlfn.IFS(A383&lt;13, "Child", A383&lt;20, "Teenager", A383&lt;40, "Young Adult", A383&lt;60, "Senior Adult", A383&gt;=60, "Elderly")</f>
        <v>Senior Adult</v>
      </c>
    </row>
    <row r="384" spans="1:8" x14ac:dyDescent="0.25">
      <c r="A384" s="1">
        <v>55</v>
      </c>
      <c r="B384" t="s">
        <v>8</v>
      </c>
      <c r="C384" s="2">
        <v>33</v>
      </c>
      <c r="D384" s="1">
        <v>0</v>
      </c>
      <c r="E384" t="s">
        <v>10</v>
      </c>
      <c r="F384" t="s">
        <v>12</v>
      </c>
      <c r="G384" s="3">
        <v>20781.490000000002</v>
      </c>
      <c r="H384" t="str" cm="1">
        <f t="array" ref="H384">_xlfn.IFS(A384&lt;13, "Child", A384&lt;20, "Teenager", A384&lt;40, "Young Adult", A384&lt;60, "Senior Adult", A384&gt;=60, "Elderly")</f>
        <v>Senior Adult</v>
      </c>
    </row>
    <row r="385" spans="1:8" x14ac:dyDescent="0.25">
      <c r="A385" s="1">
        <v>35</v>
      </c>
      <c r="B385" t="s">
        <v>7</v>
      </c>
      <c r="C385" s="2">
        <v>43.3</v>
      </c>
      <c r="D385" s="1">
        <v>2</v>
      </c>
      <c r="E385" t="s">
        <v>10</v>
      </c>
      <c r="F385" t="s">
        <v>12</v>
      </c>
      <c r="G385" s="3">
        <v>5846.92</v>
      </c>
      <c r="H385" t="str" cm="1">
        <f t="array" ref="H385">_xlfn.IFS(A385&lt;13, "Child", A385&lt;20, "Teenager", A385&lt;40, "Young Adult", A385&lt;60, "Senior Adult", A385&gt;=60, "Elderly")</f>
        <v>Young Adult</v>
      </c>
    </row>
    <row r="386" spans="1:8" x14ac:dyDescent="0.25">
      <c r="A386" s="1">
        <v>44</v>
      </c>
      <c r="B386" t="s">
        <v>8</v>
      </c>
      <c r="C386" s="2">
        <v>22.1</v>
      </c>
      <c r="D386" s="1">
        <v>2</v>
      </c>
      <c r="E386" t="s">
        <v>10</v>
      </c>
      <c r="F386" t="s">
        <v>14</v>
      </c>
      <c r="G386" s="3">
        <v>8302.5400000000009</v>
      </c>
      <c r="H386" t="str" cm="1">
        <f t="array" ref="H386">_xlfn.IFS(A386&lt;13, "Child", A386&lt;20, "Teenager", A386&lt;40, "Young Adult", A386&lt;60, "Senior Adult", A386&gt;=60, "Elderly")</f>
        <v>Senior Adult</v>
      </c>
    </row>
    <row r="387" spans="1:8" x14ac:dyDescent="0.25">
      <c r="A387" s="1">
        <v>19</v>
      </c>
      <c r="B387" t="s">
        <v>8</v>
      </c>
      <c r="C387" s="2">
        <v>34.4</v>
      </c>
      <c r="D387" s="1">
        <v>0</v>
      </c>
      <c r="E387" t="s">
        <v>10</v>
      </c>
      <c r="F387" t="s">
        <v>11</v>
      </c>
      <c r="G387" s="3">
        <v>1261.8599999999999</v>
      </c>
      <c r="H387" t="str" cm="1">
        <f t="array" ref="H387">_xlfn.IFS(A387&lt;13, "Child", A387&lt;20, "Teenager", A387&lt;40, "Young Adult", A387&lt;60, "Senior Adult", A387&gt;=60, "Elderly")</f>
        <v>Teenager</v>
      </c>
    </row>
    <row r="388" spans="1:8" x14ac:dyDescent="0.25">
      <c r="A388" s="1">
        <v>58</v>
      </c>
      <c r="B388" t="s">
        <v>7</v>
      </c>
      <c r="C388" s="2">
        <v>39.1</v>
      </c>
      <c r="D388" s="1">
        <v>0</v>
      </c>
      <c r="E388" t="s">
        <v>10</v>
      </c>
      <c r="F388" t="s">
        <v>12</v>
      </c>
      <c r="G388" s="3">
        <v>11856.41</v>
      </c>
      <c r="H388" t="str" cm="1">
        <f t="array" ref="H388">_xlfn.IFS(A388&lt;13, "Child", A388&lt;20, "Teenager", A388&lt;40, "Young Adult", A388&lt;60, "Senior Adult", A388&gt;=60, "Elderly")</f>
        <v>Senior Adult</v>
      </c>
    </row>
    <row r="389" spans="1:8" x14ac:dyDescent="0.25">
      <c r="A389" s="1">
        <v>50</v>
      </c>
      <c r="B389" t="s">
        <v>8</v>
      </c>
      <c r="C389" s="2">
        <v>25.4</v>
      </c>
      <c r="D389" s="1">
        <v>2</v>
      </c>
      <c r="E389" t="s">
        <v>10</v>
      </c>
      <c r="F389" t="s">
        <v>13</v>
      </c>
      <c r="G389" s="3">
        <v>30284.639999999999</v>
      </c>
      <c r="H389" t="str" cm="1">
        <f t="array" ref="H389">_xlfn.IFS(A389&lt;13, "Child", A389&lt;20, "Teenager", A389&lt;40, "Young Adult", A389&lt;60, "Senior Adult", A389&gt;=60, "Elderly")</f>
        <v>Senior Adult</v>
      </c>
    </row>
    <row r="390" spans="1:8" x14ac:dyDescent="0.25">
      <c r="A390" s="1">
        <v>26</v>
      </c>
      <c r="B390" t="s">
        <v>7</v>
      </c>
      <c r="C390" s="2">
        <v>22.6</v>
      </c>
      <c r="D390" s="1">
        <v>0</v>
      </c>
      <c r="E390" t="s">
        <v>10</v>
      </c>
      <c r="F390" t="s">
        <v>13</v>
      </c>
      <c r="G390" s="3">
        <v>3176.82</v>
      </c>
      <c r="H390" t="str" cm="1">
        <f t="array" ref="H390">_xlfn.IFS(A390&lt;13, "Child", A390&lt;20, "Teenager", A390&lt;40, "Young Adult", A390&lt;60, "Senior Adult", A390&gt;=60, "Elderly")</f>
        <v>Young Adult</v>
      </c>
    </row>
    <row r="391" spans="1:8" x14ac:dyDescent="0.25">
      <c r="A391" s="1">
        <v>24</v>
      </c>
      <c r="B391" t="s">
        <v>7</v>
      </c>
      <c r="C391" s="2">
        <v>30.2</v>
      </c>
      <c r="D391" s="1">
        <v>3</v>
      </c>
      <c r="E391" t="s">
        <v>10</v>
      </c>
      <c r="F391" t="s">
        <v>13</v>
      </c>
      <c r="G391" s="3">
        <v>4618.08</v>
      </c>
      <c r="H391" t="str" cm="1">
        <f t="array" ref="H391">_xlfn.IFS(A391&lt;13, "Child", A391&lt;20, "Teenager", A391&lt;40, "Young Adult", A391&lt;60, "Senior Adult", A391&gt;=60, "Elderly")</f>
        <v>Young Adult</v>
      </c>
    </row>
    <row r="392" spans="1:8" x14ac:dyDescent="0.25">
      <c r="A392" s="1">
        <v>48</v>
      </c>
      <c r="B392" t="s">
        <v>8</v>
      </c>
      <c r="C392" s="2">
        <v>35.6</v>
      </c>
      <c r="D392" s="1">
        <v>4</v>
      </c>
      <c r="E392" t="s">
        <v>10</v>
      </c>
      <c r="F392" t="s">
        <v>14</v>
      </c>
      <c r="G392" s="3">
        <v>10736.87</v>
      </c>
      <c r="H392" t="str" cm="1">
        <f t="array" ref="H392">_xlfn.IFS(A392&lt;13, "Child", A392&lt;20, "Teenager", A392&lt;40, "Young Adult", A392&lt;60, "Senior Adult", A392&gt;=60, "Elderly")</f>
        <v>Senior Adult</v>
      </c>
    </row>
    <row r="393" spans="1:8" x14ac:dyDescent="0.25">
      <c r="A393" s="1">
        <v>19</v>
      </c>
      <c r="B393" t="s">
        <v>7</v>
      </c>
      <c r="C393" s="2">
        <v>37.4</v>
      </c>
      <c r="D393" s="1">
        <v>0</v>
      </c>
      <c r="E393" t="s">
        <v>10</v>
      </c>
      <c r="F393" t="s">
        <v>13</v>
      </c>
      <c r="G393" s="3">
        <v>2138.0700000000002</v>
      </c>
      <c r="H393" t="str" cm="1">
        <f t="array" ref="H393">_xlfn.IFS(A393&lt;13, "Child", A393&lt;20, "Teenager", A393&lt;40, "Young Adult", A393&lt;60, "Senior Adult", A393&gt;=60, "Elderly")</f>
        <v>Teenager</v>
      </c>
    </row>
    <row r="394" spans="1:8" x14ac:dyDescent="0.25">
      <c r="A394" s="1">
        <v>48</v>
      </c>
      <c r="B394" t="s">
        <v>8</v>
      </c>
      <c r="C394" s="2">
        <v>31.4</v>
      </c>
      <c r="D394" s="1">
        <v>1</v>
      </c>
      <c r="E394" t="s">
        <v>10</v>
      </c>
      <c r="F394" t="s">
        <v>14</v>
      </c>
      <c r="G394" s="3">
        <v>8964.06</v>
      </c>
      <c r="H394" t="str" cm="1">
        <f t="array" ref="H394">_xlfn.IFS(A394&lt;13, "Child", A394&lt;20, "Teenager", A394&lt;40, "Young Adult", A394&lt;60, "Senior Adult", A394&gt;=60, "Elderly")</f>
        <v>Senior Adult</v>
      </c>
    </row>
    <row r="395" spans="1:8" x14ac:dyDescent="0.25">
      <c r="A395" s="1">
        <v>49</v>
      </c>
      <c r="B395" t="s">
        <v>8</v>
      </c>
      <c r="C395" s="2">
        <v>31.4</v>
      </c>
      <c r="D395" s="1">
        <v>1</v>
      </c>
      <c r="E395" t="s">
        <v>10</v>
      </c>
      <c r="F395" t="s">
        <v>14</v>
      </c>
      <c r="G395" s="3">
        <v>9290.14</v>
      </c>
      <c r="H395" t="str" cm="1">
        <f t="array" ref="H395">_xlfn.IFS(A395&lt;13, "Child", A395&lt;20, "Teenager", A395&lt;40, "Young Adult", A395&lt;60, "Senior Adult", A395&gt;=60, "Elderly")</f>
        <v>Senior Adult</v>
      </c>
    </row>
    <row r="396" spans="1:8" x14ac:dyDescent="0.25">
      <c r="A396" s="1">
        <v>46</v>
      </c>
      <c r="B396" t="s">
        <v>7</v>
      </c>
      <c r="C396" s="2">
        <v>32.299999999999997</v>
      </c>
      <c r="D396" s="1">
        <v>2</v>
      </c>
      <c r="E396" t="s">
        <v>10</v>
      </c>
      <c r="F396" t="s">
        <v>14</v>
      </c>
      <c r="G396" s="3">
        <v>9411.01</v>
      </c>
      <c r="H396" t="str" cm="1">
        <f t="array" ref="H396">_xlfn.IFS(A396&lt;13, "Child", A396&lt;20, "Teenager", A396&lt;40, "Young Adult", A396&lt;60, "Senior Adult", A396&gt;=60, "Elderly")</f>
        <v>Senior Adult</v>
      </c>
    </row>
    <row r="397" spans="1:8" x14ac:dyDescent="0.25">
      <c r="A397" s="1">
        <v>46</v>
      </c>
      <c r="B397" t="s">
        <v>8</v>
      </c>
      <c r="C397" s="2">
        <v>19.899999999999999</v>
      </c>
      <c r="D397" s="1">
        <v>0</v>
      </c>
      <c r="E397" t="s">
        <v>10</v>
      </c>
      <c r="F397" t="s">
        <v>13</v>
      </c>
      <c r="G397" s="3">
        <v>7526.71</v>
      </c>
      <c r="H397" t="str" cm="1">
        <f t="array" ref="H397">_xlfn.IFS(A397&lt;13, "Child", A397&lt;20, "Teenager", A397&lt;40, "Young Adult", A397&lt;60, "Senior Adult", A397&gt;=60, "Elderly")</f>
        <v>Senior Adult</v>
      </c>
    </row>
    <row r="398" spans="1:8" x14ac:dyDescent="0.25">
      <c r="A398" s="1">
        <v>43</v>
      </c>
      <c r="B398" t="s">
        <v>7</v>
      </c>
      <c r="C398" s="2">
        <v>34.4</v>
      </c>
      <c r="D398" s="1">
        <v>3</v>
      </c>
      <c r="E398" t="s">
        <v>10</v>
      </c>
      <c r="F398" t="s">
        <v>11</v>
      </c>
      <c r="G398" s="3">
        <v>8522</v>
      </c>
      <c r="H398" t="str" cm="1">
        <f t="array" ref="H398">_xlfn.IFS(A398&lt;13, "Child", A398&lt;20, "Teenager", A398&lt;40, "Young Adult", A398&lt;60, "Senior Adult", A398&gt;=60, "Elderly")</f>
        <v>Senior Adult</v>
      </c>
    </row>
    <row r="399" spans="1:8" x14ac:dyDescent="0.25">
      <c r="A399" s="1">
        <v>21</v>
      </c>
      <c r="B399" t="s">
        <v>8</v>
      </c>
      <c r="C399" s="2">
        <v>31</v>
      </c>
      <c r="D399" s="1">
        <v>0</v>
      </c>
      <c r="E399" t="s">
        <v>10</v>
      </c>
      <c r="F399" t="s">
        <v>12</v>
      </c>
      <c r="G399" s="3">
        <v>16586.5</v>
      </c>
      <c r="H399" t="str" cm="1">
        <f t="array" ref="H399">_xlfn.IFS(A399&lt;13, "Child", A399&lt;20, "Teenager", A399&lt;40, "Young Adult", A399&lt;60, "Senior Adult", A399&gt;=60, "Elderly")</f>
        <v>Young Adult</v>
      </c>
    </row>
    <row r="400" spans="1:8" x14ac:dyDescent="0.25">
      <c r="A400" s="1">
        <v>64</v>
      </c>
      <c r="B400" t="s">
        <v>8</v>
      </c>
      <c r="C400" s="2">
        <v>25.6</v>
      </c>
      <c r="D400" s="1">
        <v>2</v>
      </c>
      <c r="E400" t="s">
        <v>10</v>
      </c>
      <c r="F400" t="s">
        <v>11</v>
      </c>
      <c r="G400" s="3">
        <v>14988.43</v>
      </c>
      <c r="H400" t="str" cm="1">
        <f t="array" ref="H400">_xlfn.IFS(A400&lt;13, "Child", A400&lt;20, "Teenager", A400&lt;40, "Young Adult", A400&lt;60, "Senior Adult", A400&gt;=60, "Elderly")</f>
        <v>Elderly</v>
      </c>
    </row>
    <row r="401" spans="1:8" x14ac:dyDescent="0.25">
      <c r="A401" s="1">
        <v>18</v>
      </c>
      <c r="B401" t="s">
        <v>7</v>
      </c>
      <c r="C401" s="2">
        <v>38.200000000000003</v>
      </c>
      <c r="D401" s="1">
        <v>0</v>
      </c>
      <c r="E401" t="s">
        <v>10</v>
      </c>
      <c r="F401" t="s">
        <v>12</v>
      </c>
      <c r="G401" s="3">
        <v>1631.67</v>
      </c>
      <c r="H401" t="str" cm="1">
        <f t="array" ref="H401">_xlfn.IFS(A401&lt;13, "Child", A401&lt;20, "Teenager", A401&lt;40, "Young Adult", A401&lt;60, "Senior Adult", A401&gt;=60, "Elderly")</f>
        <v>Teenager</v>
      </c>
    </row>
    <row r="402" spans="1:8" x14ac:dyDescent="0.25">
      <c r="A402" s="1">
        <v>51</v>
      </c>
      <c r="B402" t="s">
        <v>7</v>
      </c>
      <c r="C402" s="2">
        <v>20.6</v>
      </c>
      <c r="D402" s="1">
        <v>0</v>
      </c>
      <c r="E402" t="s">
        <v>10</v>
      </c>
      <c r="F402" t="s">
        <v>11</v>
      </c>
      <c r="G402" s="3">
        <v>9264.7999999999993</v>
      </c>
      <c r="H402" t="str" cm="1">
        <f t="array" ref="H402">_xlfn.IFS(A402&lt;13, "Child", A402&lt;20, "Teenager", A402&lt;40, "Young Adult", A402&lt;60, "Senior Adult", A402&gt;=60, "Elderly")</f>
        <v>Senior Adult</v>
      </c>
    </row>
    <row r="403" spans="1:8" x14ac:dyDescent="0.25">
      <c r="A403" s="1">
        <v>47</v>
      </c>
      <c r="B403" t="s">
        <v>8</v>
      </c>
      <c r="C403" s="2">
        <v>47.5</v>
      </c>
      <c r="D403" s="1">
        <v>1</v>
      </c>
      <c r="E403" t="s">
        <v>10</v>
      </c>
      <c r="F403" t="s">
        <v>12</v>
      </c>
      <c r="G403" s="3">
        <v>8083.92</v>
      </c>
      <c r="H403" t="str" cm="1">
        <f t="array" ref="H403">_xlfn.IFS(A403&lt;13, "Child", A403&lt;20, "Teenager", A403&lt;40, "Young Adult", A403&lt;60, "Senior Adult", A403&gt;=60, "Elderly")</f>
        <v>Senior Adult</v>
      </c>
    </row>
    <row r="404" spans="1:8" x14ac:dyDescent="0.25">
      <c r="A404" s="1">
        <v>64</v>
      </c>
      <c r="B404" t="s">
        <v>7</v>
      </c>
      <c r="C404" s="2">
        <v>33</v>
      </c>
      <c r="D404" s="1">
        <v>0</v>
      </c>
      <c r="E404" t="s">
        <v>10</v>
      </c>
      <c r="F404" t="s">
        <v>13</v>
      </c>
      <c r="G404" s="3">
        <v>14692.67</v>
      </c>
      <c r="H404" t="str" cm="1">
        <f t="array" ref="H404">_xlfn.IFS(A404&lt;13, "Child", A404&lt;20, "Teenager", A404&lt;40, "Young Adult", A404&lt;60, "Senior Adult", A404&gt;=60, "Elderly")</f>
        <v>Elderly</v>
      </c>
    </row>
    <row r="405" spans="1:8" x14ac:dyDescent="0.25">
      <c r="A405" s="1">
        <v>49</v>
      </c>
      <c r="B405" t="s">
        <v>8</v>
      </c>
      <c r="C405" s="2">
        <v>32.299999999999997</v>
      </c>
      <c r="D405" s="1">
        <v>3</v>
      </c>
      <c r="E405" t="s">
        <v>10</v>
      </c>
      <c r="F405" t="s">
        <v>13</v>
      </c>
      <c r="G405" s="3">
        <v>10269.459999999999</v>
      </c>
      <c r="H405" t="str" cm="1">
        <f t="array" ref="H405">_xlfn.IFS(A405&lt;13, "Child", A405&lt;20, "Teenager", A405&lt;40, "Young Adult", A405&lt;60, "Senior Adult", A405&gt;=60, "Elderly")</f>
        <v>Senior Adult</v>
      </c>
    </row>
    <row r="406" spans="1:8" x14ac:dyDescent="0.25">
      <c r="A406" s="1">
        <v>31</v>
      </c>
      <c r="B406" t="s">
        <v>8</v>
      </c>
      <c r="C406" s="2">
        <v>20.399999999999999</v>
      </c>
      <c r="D406" s="1">
        <v>0</v>
      </c>
      <c r="E406" t="s">
        <v>10</v>
      </c>
      <c r="F406" t="s">
        <v>11</v>
      </c>
      <c r="G406" s="3">
        <v>3260.2</v>
      </c>
      <c r="H406" t="str" cm="1">
        <f t="array" ref="H406">_xlfn.IFS(A406&lt;13, "Child", A406&lt;20, "Teenager", A406&lt;40, "Young Adult", A406&lt;60, "Senior Adult", A406&gt;=60, "Elderly")</f>
        <v>Young Adult</v>
      </c>
    </row>
    <row r="407" spans="1:8" x14ac:dyDescent="0.25">
      <c r="A407" s="1">
        <v>52</v>
      </c>
      <c r="B407" t="s">
        <v>7</v>
      </c>
      <c r="C407" s="2">
        <v>38.4</v>
      </c>
      <c r="D407" s="1">
        <v>2</v>
      </c>
      <c r="E407" t="s">
        <v>10</v>
      </c>
      <c r="F407" t="s">
        <v>14</v>
      </c>
      <c r="G407" s="3">
        <v>11396.9</v>
      </c>
      <c r="H407" t="str" cm="1">
        <f t="array" ref="H407">_xlfn.IFS(A407&lt;13, "Child", A407&lt;20, "Teenager", A407&lt;40, "Young Adult", A407&lt;60, "Senior Adult", A407&gt;=60, "Elderly")</f>
        <v>Senior Adult</v>
      </c>
    </row>
    <row r="408" spans="1:8" x14ac:dyDescent="0.25">
      <c r="A408" s="1">
        <v>33</v>
      </c>
      <c r="B408" t="s">
        <v>7</v>
      </c>
      <c r="C408" s="2">
        <v>24.3</v>
      </c>
      <c r="D408" s="1">
        <v>0</v>
      </c>
      <c r="E408" t="s">
        <v>10</v>
      </c>
      <c r="F408" t="s">
        <v>12</v>
      </c>
      <c r="G408" s="3">
        <v>4185.1000000000004</v>
      </c>
      <c r="H408" t="str" cm="1">
        <f t="array" ref="H408">_xlfn.IFS(A408&lt;13, "Child", A408&lt;20, "Teenager", A408&lt;40, "Young Adult", A408&lt;60, "Senior Adult", A408&gt;=60, "Elderly")</f>
        <v>Young Adult</v>
      </c>
    </row>
    <row r="409" spans="1:8" x14ac:dyDescent="0.25">
      <c r="A409" s="1">
        <v>47</v>
      </c>
      <c r="B409" t="s">
        <v>7</v>
      </c>
      <c r="C409" s="2">
        <v>23.6</v>
      </c>
      <c r="D409" s="1">
        <v>1</v>
      </c>
      <c r="E409" t="s">
        <v>10</v>
      </c>
      <c r="F409" t="s">
        <v>11</v>
      </c>
      <c r="G409" s="3">
        <v>8539.67</v>
      </c>
      <c r="H409" t="str" cm="1">
        <f t="array" ref="H409">_xlfn.IFS(A409&lt;13, "Child", A409&lt;20, "Teenager", A409&lt;40, "Young Adult", A409&lt;60, "Senior Adult", A409&gt;=60, "Elderly")</f>
        <v>Senior Adult</v>
      </c>
    </row>
    <row r="410" spans="1:8" x14ac:dyDescent="0.25">
      <c r="A410" s="1">
        <v>38</v>
      </c>
      <c r="B410" t="s">
        <v>8</v>
      </c>
      <c r="C410" s="2">
        <v>21.1</v>
      </c>
      <c r="D410" s="1">
        <v>3</v>
      </c>
      <c r="E410" t="s">
        <v>10</v>
      </c>
      <c r="F410" t="s">
        <v>12</v>
      </c>
      <c r="G410" s="3">
        <v>6652.53</v>
      </c>
      <c r="H410" t="str" cm="1">
        <f t="array" ref="H410">_xlfn.IFS(A410&lt;13, "Child", A410&lt;20, "Teenager", A410&lt;40, "Young Adult", A410&lt;60, "Senior Adult", A410&gt;=60, "Elderly")</f>
        <v>Young Adult</v>
      </c>
    </row>
    <row r="411" spans="1:8" x14ac:dyDescent="0.25">
      <c r="A411" s="1">
        <v>32</v>
      </c>
      <c r="B411" t="s">
        <v>8</v>
      </c>
      <c r="C411" s="2">
        <v>30</v>
      </c>
      <c r="D411" s="1">
        <v>1</v>
      </c>
      <c r="E411" t="s">
        <v>10</v>
      </c>
      <c r="F411" t="s">
        <v>12</v>
      </c>
      <c r="G411" s="3">
        <v>4074.45</v>
      </c>
      <c r="H411" t="str" cm="1">
        <f t="array" ref="H411">_xlfn.IFS(A411&lt;13, "Child", A411&lt;20, "Teenager", A411&lt;40, "Young Adult", A411&lt;60, "Senior Adult", A411&gt;=60, "Elderly")</f>
        <v>Young Adult</v>
      </c>
    </row>
    <row r="412" spans="1:8" x14ac:dyDescent="0.25">
      <c r="A412" s="1">
        <v>19</v>
      </c>
      <c r="B412" t="s">
        <v>8</v>
      </c>
      <c r="C412" s="2">
        <v>17.5</v>
      </c>
      <c r="D412" s="1">
        <v>0</v>
      </c>
      <c r="E412" t="s">
        <v>10</v>
      </c>
      <c r="F412" t="s">
        <v>13</v>
      </c>
      <c r="G412" s="3">
        <v>1621.34</v>
      </c>
      <c r="H412" t="str" cm="1">
        <f t="array" ref="H412">_xlfn.IFS(A412&lt;13, "Child", A412&lt;20, "Teenager", A412&lt;40, "Young Adult", A412&lt;60, "Senior Adult", A412&gt;=60, "Elderly")</f>
        <v>Teenager</v>
      </c>
    </row>
    <row r="413" spans="1:8" x14ac:dyDescent="0.25">
      <c r="A413" s="1">
        <v>44</v>
      </c>
      <c r="B413" t="s">
        <v>7</v>
      </c>
      <c r="C413" s="2">
        <v>20.2</v>
      </c>
      <c r="D413" s="1">
        <v>1</v>
      </c>
      <c r="E413" t="s">
        <v>9</v>
      </c>
      <c r="F413" t="s">
        <v>14</v>
      </c>
      <c r="G413" s="3">
        <v>19594.810000000001</v>
      </c>
      <c r="H413" t="str" cm="1">
        <f t="array" ref="H413">_xlfn.IFS(A413&lt;13, "Child", A413&lt;20, "Teenager", A413&lt;40, "Young Adult", A413&lt;60, "Senior Adult", A413&gt;=60, "Elderly")</f>
        <v>Senior Adult</v>
      </c>
    </row>
    <row r="414" spans="1:8" x14ac:dyDescent="0.25">
      <c r="A414" s="1">
        <v>26</v>
      </c>
      <c r="B414" t="s">
        <v>7</v>
      </c>
      <c r="C414" s="2">
        <v>17.2</v>
      </c>
      <c r="D414" s="1">
        <v>2</v>
      </c>
      <c r="E414" t="s">
        <v>9</v>
      </c>
      <c r="F414" t="s">
        <v>14</v>
      </c>
      <c r="G414" s="3">
        <v>14455.64</v>
      </c>
      <c r="H414" t="str" cm="1">
        <f t="array" ref="H414">_xlfn.IFS(A414&lt;13, "Child", A414&lt;20, "Teenager", A414&lt;40, "Young Adult", A414&lt;60, "Senior Adult", A414&gt;=60, "Elderly")</f>
        <v>Young Adult</v>
      </c>
    </row>
    <row r="415" spans="1:8" x14ac:dyDescent="0.25">
      <c r="A415" s="1">
        <v>25</v>
      </c>
      <c r="B415" t="s">
        <v>8</v>
      </c>
      <c r="C415" s="2">
        <v>23.9</v>
      </c>
      <c r="D415" s="1">
        <v>5</v>
      </c>
      <c r="E415" t="s">
        <v>10</v>
      </c>
      <c r="F415" t="s">
        <v>11</v>
      </c>
      <c r="G415" s="3">
        <v>5080.1000000000004</v>
      </c>
      <c r="H415" t="str" cm="1">
        <f t="array" ref="H415">_xlfn.IFS(A415&lt;13, "Child", A415&lt;20, "Teenager", A415&lt;40, "Young Adult", A415&lt;60, "Senior Adult", A415&gt;=60, "Elderly")</f>
        <v>Young Adult</v>
      </c>
    </row>
    <row r="416" spans="1:8" x14ac:dyDescent="0.25">
      <c r="A416" s="1">
        <v>19</v>
      </c>
      <c r="B416" t="s">
        <v>7</v>
      </c>
      <c r="C416" s="2">
        <v>35.200000000000003</v>
      </c>
      <c r="D416" s="1">
        <v>0</v>
      </c>
      <c r="E416" t="s">
        <v>10</v>
      </c>
      <c r="F416" t="s">
        <v>13</v>
      </c>
      <c r="G416" s="3">
        <v>2134.9</v>
      </c>
      <c r="H416" t="str" cm="1">
        <f t="array" ref="H416">_xlfn.IFS(A416&lt;13, "Child", A416&lt;20, "Teenager", A416&lt;40, "Young Adult", A416&lt;60, "Senior Adult", A416&gt;=60, "Elderly")</f>
        <v>Teenager</v>
      </c>
    </row>
    <row r="417" spans="1:8" x14ac:dyDescent="0.25">
      <c r="A417" s="1">
        <v>43</v>
      </c>
      <c r="B417" t="s">
        <v>7</v>
      </c>
      <c r="C417" s="2">
        <v>35.6</v>
      </c>
      <c r="D417" s="1">
        <v>1</v>
      </c>
      <c r="E417" t="s">
        <v>10</v>
      </c>
      <c r="F417" t="s">
        <v>12</v>
      </c>
      <c r="G417" s="3">
        <v>7345.73</v>
      </c>
      <c r="H417" t="str" cm="1">
        <f t="array" ref="H417">_xlfn.IFS(A417&lt;13, "Child", A417&lt;20, "Teenager", A417&lt;40, "Young Adult", A417&lt;60, "Senior Adult", A417&gt;=60, "Elderly")</f>
        <v>Senior Adult</v>
      </c>
    </row>
    <row r="418" spans="1:8" x14ac:dyDescent="0.25">
      <c r="A418" s="1">
        <v>52</v>
      </c>
      <c r="B418" t="s">
        <v>8</v>
      </c>
      <c r="C418" s="2">
        <v>34.1</v>
      </c>
      <c r="D418" s="1">
        <v>0</v>
      </c>
      <c r="E418" t="s">
        <v>10</v>
      </c>
      <c r="F418" t="s">
        <v>12</v>
      </c>
      <c r="G418" s="3">
        <v>9140.9500000000007</v>
      </c>
      <c r="H418" t="str" cm="1">
        <f t="array" ref="H418">_xlfn.IFS(A418&lt;13, "Child", A418&lt;20, "Teenager", A418&lt;40, "Young Adult", A418&lt;60, "Senior Adult", A418&gt;=60, "Elderly")</f>
        <v>Senior Adult</v>
      </c>
    </row>
    <row r="419" spans="1:8" x14ac:dyDescent="0.25">
      <c r="A419" s="1">
        <v>36</v>
      </c>
      <c r="B419" t="s">
        <v>7</v>
      </c>
      <c r="C419" s="2">
        <v>22.6</v>
      </c>
      <c r="D419" s="1">
        <v>2</v>
      </c>
      <c r="E419" t="s">
        <v>9</v>
      </c>
      <c r="F419" t="s">
        <v>11</v>
      </c>
      <c r="G419" s="3">
        <v>18608.259999999998</v>
      </c>
      <c r="H419" t="str" cm="1">
        <f t="array" ref="H419">_xlfn.IFS(A419&lt;13, "Child", A419&lt;20, "Teenager", A419&lt;40, "Young Adult", A419&lt;60, "Senior Adult", A419&gt;=60, "Elderly")</f>
        <v>Young Adult</v>
      </c>
    </row>
    <row r="420" spans="1:8" x14ac:dyDescent="0.25">
      <c r="A420" s="1">
        <v>64</v>
      </c>
      <c r="B420" t="s">
        <v>8</v>
      </c>
      <c r="C420" s="2">
        <v>39.200000000000003</v>
      </c>
      <c r="D420" s="1">
        <v>1</v>
      </c>
      <c r="E420" t="s">
        <v>10</v>
      </c>
      <c r="F420" t="s">
        <v>12</v>
      </c>
      <c r="G420" s="3">
        <v>14418.28</v>
      </c>
      <c r="H420" t="str" cm="1">
        <f t="array" ref="H420">_xlfn.IFS(A420&lt;13, "Child", A420&lt;20, "Teenager", A420&lt;40, "Young Adult", A420&lt;60, "Senior Adult", A420&gt;=60, "Elderly")</f>
        <v>Elderly</v>
      </c>
    </row>
    <row r="421" spans="1:8" x14ac:dyDescent="0.25">
      <c r="A421" s="1">
        <v>63</v>
      </c>
      <c r="B421" t="s">
        <v>7</v>
      </c>
      <c r="C421" s="2">
        <v>27</v>
      </c>
      <c r="D421" s="1">
        <v>0</v>
      </c>
      <c r="E421" t="s">
        <v>9</v>
      </c>
      <c r="F421" t="s">
        <v>13</v>
      </c>
      <c r="G421" s="3">
        <v>28950.47</v>
      </c>
      <c r="H421" t="str" cm="1">
        <f t="array" ref="H421">_xlfn.IFS(A421&lt;13, "Child", A421&lt;20, "Teenager", A421&lt;40, "Young Adult", A421&lt;60, "Senior Adult", A421&gt;=60, "Elderly")</f>
        <v>Elderly</v>
      </c>
    </row>
    <row r="422" spans="1:8" x14ac:dyDescent="0.25">
      <c r="A422" s="1">
        <v>64</v>
      </c>
      <c r="B422" t="s">
        <v>8</v>
      </c>
      <c r="C422" s="2">
        <v>33.9</v>
      </c>
      <c r="D422" s="1">
        <v>0</v>
      </c>
      <c r="E422" t="s">
        <v>9</v>
      </c>
      <c r="F422" t="s">
        <v>12</v>
      </c>
      <c r="G422" s="3">
        <v>46889.26</v>
      </c>
      <c r="H422" t="str" cm="1">
        <f t="array" ref="H422">_xlfn.IFS(A422&lt;13, "Child", A422&lt;20, "Teenager", A422&lt;40, "Young Adult", A422&lt;60, "Senior Adult", A422&gt;=60, "Elderly")</f>
        <v>Elderly</v>
      </c>
    </row>
    <row r="423" spans="1:8" x14ac:dyDescent="0.25">
      <c r="A423" s="1">
        <v>61</v>
      </c>
      <c r="B423" t="s">
        <v>8</v>
      </c>
      <c r="C423" s="2">
        <v>35.9</v>
      </c>
      <c r="D423" s="1">
        <v>0</v>
      </c>
      <c r="E423" t="s">
        <v>9</v>
      </c>
      <c r="F423" t="s">
        <v>12</v>
      </c>
      <c r="G423" s="3">
        <v>46599.11</v>
      </c>
      <c r="H423" t="str" cm="1">
        <f t="array" ref="H423">_xlfn.IFS(A423&lt;13, "Child", A423&lt;20, "Teenager", A423&lt;40, "Young Adult", A423&lt;60, "Senior Adult", A423&gt;=60, "Elderly")</f>
        <v>Elderly</v>
      </c>
    </row>
    <row r="424" spans="1:8" x14ac:dyDescent="0.25">
      <c r="A424" s="1">
        <v>40</v>
      </c>
      <c r="B424" t="s">
        <v>8</v>
      </c>
      <c r="C424" s="2">
        <v>32.799999999999997</v>
      </c>
      <c r="D424" s="1">
        <v>1</v>
      </c>
      <c r="E424" t="s">
        <v>9</v>
      </c>
      <c r="F424" t="s">
        <v>14</v>
      </c>
      <c r="G424" s="3">
        <v>39125.33</v>
      </c>
      <c r="H424" t="str" cm="1">
        <f t="array" ref="H424">_xlfn.IFS(A424&lt;13, "Child", A424&lt;20, "Teenager", A424&lt;40, "Young Adult", A424&lt;60, "Senior Adult", A424&gt;=60, "Elderly")</f>
        <v>Senior Adult</v>
      </c>
    </row>
    <row r="425" spans="1:8" x14ac:dyDescent="0.25">
      <c r="A425" s="1">
        <v>25</v>
      </c>
      <c r="B425" t="s">
        <v>8</v>
      </c>
      <c r="C425" s="2">
        <v>30.6</v>
      </c>
      <c r="D425" s="1">
        <v>0</v>
      </c>
      <c r="E425" t="s">
        <v>10</v>
      </c>
      <c r="F425" t="s">
        <v>14</v>
      </c>
      <c r="G425" s="3">
        <v>2727.4</v>
      </c>
      <c r="H425" t="str" cm="1">
        <f t="array" ref="H425">_xlfn.IFS(A425&lt;13, "Child", A425&lt;20, "Teenager", A425&lt;40, "Young Adult", A425&lt;60, "Senior Adult", A425&gt;=60, "Elderly")</f>
        <v>Young Adult</v>
      </c>
    </row>
    <row r="426" spans="1:8" x14ac:dyDescent="0.25">
      <c r="A426" s="1">
        <v>48</v>
      </c>
      <c r="B426" t="s">
        <v>8</v>
      </c>
      <c r="C426" s="2">
        <v>30.2</v>
      </c>
      <c r="D426" s="1">
        <v>2</v>
      </c>
      <c r="E426" t="s">
        <v>10</v>
      </c>
      <c r="F426" t="s">
        <v>11</v>
      </c>
      <c r="G426" s="3">
        <v>8968.33</v>
      </c>
      <c r="H426" t="str" cm="1">
        <f t="array" ref="H426">_xlfn.IFS(A426&lt;13, "Child", A426&lt;20, "Teenager", A426&lt;40, "Young Adult", A426&lt;60, "Senior Adult", A426&gt;=60, "Elderly")</f>
        <v>Senior Adult</v>
      </c>
    </row>
    <row r="427" spans="1:8" x14ac:dyDescent="0.25">
      <c r="A427" s="1">
        <v>45</v>
      </c>
      <c r="B427" t="s">
        <v>8</v>
      </c>
      <c r="C427" s="2">
        <v>24.3</v>
      </c>
      <c r="D427" s="1">
        <v>5</v>
      </c>
      <c r="E427" t="s">
        <v>10</v>
      </c>
      <c r="F427" t="s">
        <v>12</v>
      </c>
      <c r="G427" s="3">
        <v>9788.8700000000008</v>
      </c>
      <c r="H427" t="str" cm="1">
        <f t="array" ref="H427">_xlfn.IFS(A427&lt;13, "Child", A427&lt;20, "Teenager", A427&lt;40, "Young Adult", A427&lt;60, "Senior Adult", A427&gt;=60, "Elderly")</f>
        <v>Senior Adult</v>
      </c>
    </row>
    <row r="428" spans="1:8" x14ac:dyDescent="0.25">
      <c r="A428" s="1">
        <v>38</v>
      </c>
      <c r="B428" t="s">
        <v>7</v>
      </c>
      <c r="C428" s="2">
        <v>27.3</v>
      </c>
      <c r="D428" s="1">
        <v>1</v>
      </c>
      <c r="E428" t="s">
        <v>10</v>
      </c>
      <c r="F428" t="s">
        <v>14</v>
      </c>
      <c r="G428" s="3">
        <v>6555.07</v>
      </c>
      <c r="H428" t="str" cm="1">
        <f t="array" ref="H428">_xlfn.IFS(A428&lt;13, "Child", A428&lt;20, "Teenager", A428&lt;40, "Young Adult", A428&lt;60, "Senior Adult", A428&gt;=60, "Elderly")</f>
        <v>Young Adult</v>
      </c>
    </row>
    <row r="429" spans="1:8" x14ac:dyDescent="0.25">
      <c r="A429" s="1">
        <v>18</v>
      </c>
      <c r="B429" t="s">
        <v>7</v>
      </c>
      <c r="C429" s="2">
        <v>29.2</v>
      </c>
      <c r="D429" s="1">
        <v>0</v>
      </c>
      <c r="E429" t="s">
        <v>10</v>
      </c>
      <c r="F429" t="s">
        <v>14</v>
      </c>
      <c r="G429" s="3">
        <v>7323.73</v>
      </c>
      <c r="H429" t="str" cm="1">
        <f t="array" ref="H429">_xlfn.IFS(A429&lt;13, "Child", A429&lt;20, "Teenager", A429&lt;40, "Young Adult", A429&lt;60, "Senior Adult", A429&gt;=60, "Elderly")</f>
        <v>Teenager</v>
      </c>
    </row>
    <row r="430" spans="1:8" x14ac:dyDescent="0.25">
      <c r="A430" s="1">
        <v>21</v>
      </c>
      <c r="B430" t="s">
        <v>7</v>
      </c>
      <c r="C430" s="2">
        <v>16.8</v>
      </c>
      <c r="D430" s="1">
        <v>1</v>
      </c>
      <c r="E430" t="s">
        <v>10</v>
      </c>
      <c r="F430" t="s">
        <v>14</v>
      </c>
      <c r="G430" s="3">
        <v>3167.46</v>
      </c>
      <c r="H430" t="str" cm="1">
        <f t="array" ref="H430">_xlfn.IFS(A430&lt;13, "Child", A430&lt;20, "Teenager", A430&lt;40, "Young Adult", A430&lt;60, "Senior Adult", A430&gt;=60, "Elderly")</f>
        <v>Young Adult</v>
      </c>
    </row>
    <row r="431" spans="1:8" x14ac:dyDescent="0.25">
      <c r="A431" s="1">
        <v>27</v>
      </c>
      <c r="B431" t="s">
        <v>7</v>
      </c>
      <c r="C431" s="2">
        <v>30.4</v>
      </c>
      <c r="D431" s="1">
        <v>3</v>
      </c>
      <c r="E431" t="s">
        <v>10</v>
      </c>
      <c r="F431" t="s">
        <v>13</v>
      </c>
      <c r="G431" s="3">
        <v>18804.75</v>
      </c>
      <c r="H431" t="str" cm="1">
        <f t="array" ref="H431">_xlfn.IFS(A431&lt;13, "Child", A431&lt;20, "Teenager", A431&lt;40, "Young Adult", A431&lt;60, "Senior Adult", A431&gt;=60, "Elderly")</f>
        <v>Young Adult</v>
      </c>
    </row>
    <row r="432" spans="1:8" x14ac:dyDescent="0.25">
      <c r="A432" s="1">
        <v>19</v>
      </c>
      <c r="B432" t="s">
        <v>8</v>
      </c>
      <c r="C432" s="2">
        <v>33.1</v>
      </c>
      <c r="D432" s="1">
        <v>0</v>
      </c>
      <c r="E432" t="s">
        <v>10</v>
      </c>
      <c r="F432" t="s">
        <v>11</v>
      </c>
      <c r="G432" s="3">
        <v>23082.959999999999</v>
      </c>
      <c r="H432" t="str" cm="1">
        <f t="array" ref="H432">_xlfn.IFS(A432&lt;13, "Child", A432&lt;20, "Teenager", A432&lt;40, "Young Adult", A432&lt;60, "Senior Adult", A432&gt;=60, "Elderly")</f>
        <v>Teenager</v>
      </c>
    </row>
    <row r="433" spans="1:8" x14ac:dyDescent="0.25">
      <c r="A433" s="1">
        <v>29</v>
      </c>
      <c r="B433" t="s">
        <v>7</v>
      </c>
      <c r="C433" s="2">
        <v>20.2</v>
      </c>
      <c r="D433" s="1">
        <v>2</v>
      </c>
      <c r="E433" t="s">
        <v>10</v>
      </c>
      <c r="F433" t="s">
        <v>13</v>
      </c>
      <c r="G433" s="3">
        <v>4906.41</v>
      </c>
      <c r="H433" t="str" cm="1">
        <f t="array" ref="H433">_xlfn.IFS(A433&lt;13, "Child", A433&lt;20, "Teenager", A433&lt;40, "Young Adult", A433&lt;60, "Senior Adult", A433&gt;=60, "Elderly")</f>
        <v>Young Adult</v>
      </c>
    </row>
    <row r="434" spans="1:8" x14ac:dyDescent="0.25">
      <c r="A434" s="1">
        <v>42</v>
      </c>
      <c r="B434" t="s">
        <v>8</v>
      </c>
      <c r="C434" s="2">
        <v>26.9</v>
      </c>
      <c r="D434" s="1">
        <v>0</v>
      </c>
      <c r="E434" t="s">
        <v>10</v>
      </c>
      <c r="F434" t="s">
        <v>11</v>
      </c>
      <c r="G434" s="3">
        <v>5969.72</v>
      </c>
      <c r="H434" t="str" cm="1">
        <f t="array" ref="H434">_xlfn.IFS(A434&lt;13, "Child", A434&lt;20, "Teenager", A434&lt;40, "Young Adult", A434&lt;60, "Senior Adult", A434&gt;=60, "Elderly")</f>
        <v>Senior Adult</v>
      </c>
    </row>
    <row r="435" spans="1:8" x14ac:dyDescent="0.25">
      <c r="A435" s="1">
        <v>60</v>
      </c>
      <c r="B435" t="s">
        <v>7</v>
      </c>
      <c r="C435" s="2">
        <v>30.5</v>
      </c>
      <c r="D435" s="1">
        <v>0</v>
      </c>
      <c r="E435" t="s">
        <v>10</v>
      </c>
      <c r="F435" t="s">
        <v>11</v>
      </c>
      <c r="G435" s="3">
        <v>12638.2</v>
      </c>
      <c r="H435" t="str" cm="1">
        <f t="array" ref="H435">_xlfn.IFS(A435&lt;13, "Child", A435&lt;20, "Teenager", A435&lt;40, "Young Adult", A435&lt;60, "Senior Adult", A435&gt;=60, "Elderly")</f>
        <v>Elderly</v>
      </c>
    </row>
    <row r="436" spans="1:8" x14ac:dyDescent="0.25">
      <c r="A436" s="1">
        <v>31</v>
      </c>
      <c r="B436" t="s">
        <v>8</v>
      </c>
      <c r="C436" s="2">
        <v>28.6</v>
      </c>
      <c r="D436" s="1">
        <v>1</v>
      </c>
      <c r="E436" t="s">
        <v>10</v>
      </c>
      <c r="F436" t="s">
        <v>13</v>
      </c>
      <c r="G436" s="3">
        <v>4243.59</v>
      </c>
      <c r="H436" t="str" cm="1">
        <f t="array" ref="H436">_xlfn.IFS(A436&lt;13, "Child", A436&lt;20, "Teenager", A436&lt;40, "Young Adult", A436&lt;60, "Senior Adult", A436&gt;=60, "Elderly")</f>
        <v>Young Adult</v>
      </c>
    </row>
    <row r="437" spans="1:8" x14ac:dyDescent="0.25">
      <c r="A437" s="1">
        <v>60</v>
      </c>
      <c r="B437" t="s">
        <v>8</v>
      </c>
      <c r="C437" s="2">
        <v>33.1</v>
      </c>
      <c r="D437" s="1">
        <v>3</v>
      </c>
      <c r="E437" t="s">
        <v>10</v>
      </c>
      <c r="F437" t="s">
        <v>12</v>
      </c>
      <c r="G437" s="3">
        <v>13919.82</v>
      </c>
      <c r="H437" t="str" cm="1">
        <f t="array" ref="H437">_xlfn.IFS(A437&lt;13, "Child", A437&lt;20, "Teenager", A437&lt;40, "Young Adult", A437&lt;60, "Senior Adult", A437&gt;=60, "Elderly")</f>
        <v>Elderly</v>
      </c>
    </row>
    <row r="438" spans="1:8" x14ac:dyDescent="0.25">
      <c r="A438" s="1">
        <v>22</v>
      </c>
      <c r="B438" t="s">
        <v>8</v>
      </c>
      <c r="C438" s="2">
        <v>31.7</v>
      </c>
      <c r="D438" s="1">
        <v>0</v>
      </c>
      <c r="E438" t="s">
        <v>10</v>
      </c>
      <c r="F438" t="s">
        <v>14</v>
      </c>
      <c r="G438" s="3">
        <v>2254.8000000000002</v>
      </c>
      <c r="H438" t="str" cm="1">
        <f t="array" ref="H438">_xlfn.IFS(A438&lt;13, "Child", A438&lt;20, "Teenager", A438&lt;40, "Young Adult", A438&lt;60, "Senior Adult", A438&gt;=60, "Elderly")</f>
        <v>Young Adult</v>
      </c>
    </row>
    <row r="439" spans="1:8" x14ac:dyDescent="0.25">
      <c r="A439" s="1">
        <v>35</v>
      </c>
      <c r="B439" t="s">
        <v>8</v>
      </c>
      <c r="C439" s="2">
        <v>28.9</v>
      </c>
      <c r="D439" s="1">
        <v>3</v>
      </c>
      <c r="E439" t="s">
        <v>10</v>
      </c>
      <c r="F439" t="s">
        <v>11</v>
      </c>
      <c r="G439" s="3">
        <v>5926.85</v>
      </c>
      <c r="H439" t="str" cm="1">
        <f t="array" ref="H439">_xlfn.IFS(A439&lt;13, "Child", A439&lt;20, "Teenager", A439&lt;40, "Young Adult", A439&lt;60, "Senior Adult", A439&gt;=60, "Elderly")</f>
        <v>Young Adult</v>
      </c>
    </row>
    <row r="440" spans="1:8" x14ac:dyDescent="0.25">
      <c r="A440" s="1">
        <v>52</v>
      </c>
      <c r="B440" t="s">
        <v>7</v>
      </c>
      <c r="C440" s="2">
        <v>46.8</v>
      </c>
      <c r="D440" s="1">
        <v>5</v>
      </c>
      <c r="E440" t="s">
        <v>10</v>
      </c>
      <c r="F440" t="s">
        <v>12</v>
      </c>
      <c r="G440" s="3">
        <v>12592.53</v>
      </c>
      <c r="H440" t="str" cm="1">
        <f t="array" ref="H440">_xlfn.IFS(A440&lt;13, "Child", A440&lt;20, "Teenager", A440&lt;40, "Young Adult", A440&lt;60, "Senior Adult", A440&gt;=60, "Elderly")</f>
        <v>Senior Adult</v>
      </c>
    </row>
    <row r="441" spans="1:8" x14ac:dyDescent="0.25">
      <c r="A441" s="1">
        <v>26</v>
      </c>
      <c r="B441" t="s">
        <v>8</v>
      </c>
      <c r="C441" s="2">
        <v>29.5</v>
      </c>
      <c r="D441" s="1">
        <v>0</v>
      </c>
      <c r="E441" t="s">
        <v>10</v>
      </c>
      <c r="F441" t="s">
        <v>14</v>
      </c>
      <c r="G441" s="3">
        <v>2897.32</v>
      </c>
      <c r="H441" t="str" cm="1">
        <f t="array" ref="H441">_xlfn.IFS(A441&lt;13, "Child", A441&lt;20, "Teenager", A441&lt;40, "Young Adult", A441&lt;60, "Senior Adult", A441&gt;=60, "Elderly")</f>
        <v>Young Adult</v>
      </c>
    </row>
    <row r="442" spans="1:8" x14ac:dyDescent="0.25">
      <c r="A442" s="1">
        <v>31</v>
      </c>
      <c r="B442" t="s">
        <v>7</v>
      </c>
      <c r="C442" s="2">
        <v>32.700000000000003</v>
      </c>
      <c r="D442" s="1">
        <v>1</v>
      </c>
      <c r="E442" t="s">
        <v>10</v>
      </c>
      <c r="F442" t="s">
        <v>13</v>
      </c>
      <c r="G442" s="3">
        <v>4738.2700000000004</v>
      </c>
      <c r="H442" t="str" cm="1">
        <f t="array" ref="H442">_xlfn.IFS(A442&lt;13, "Child", A442&lt;20, "Teenager", A442&lt;40, "Young Adult", A442&lt;60, "Senior Adult", A442&gt;=60, "Elderly")</f>
        <v>Young Adult</v>
      </c>
    </row>
    <row r="443" spans="1:8" x14ac:dyDescent="0.25">
      <c r="A443" s="1">
        <v>33</v>
      </c>
      <c r="B443" t="s">
        <v>7</v>
      </c>
      <c r="C443" s="2">
        <v>33.5</v>
      </c>
      <c r="D443" s="1">
        <v>0</v>
      </c>
      <c r="E443" t="s">
        <v>9</v>
      </c>
      <c r="F443" t="s">
        <v>11</v>
      </c>
      <c r="G443" s="3">
        <v>37079.370000000003</v>
      </c>
      <c r="H443" t="str" cm="1">
        <f t="array" ref="H443">_xlfn.IFS(A443&lt;13, "Child", A443&lt;20, "Teenager", A443&lt;40, "Young Adult", A443&lt;60, "Senior Adult", A443&gt;=60, "Elderly")</f>
        <v>Young Adult</v>
      </c>
    </row>
    <row r="444" spans="1:8" x14ac:dyDescent="0.25">
      <c r="A444" s="1">
        <v>18</v>
      </c>
      <c r="B444" t="s">
        <v>8</v>
      </c>
      <c r="C444" s="2">
        <v>43</v>
      </c>
      <c r="D444" s="1">
        <v>0</v>
      </c>
      <c r="E444" t="s">
        <v>10</v>
      </c>
      <c r="F444" t="s">
        <v>12</v>
      </c>
      <c r="G444" s="3">
        <v>1149.4000000000001</v>
      </c>
      <c r="H444" t="str" cm="1">
        <f t="array" ref="H444">_xlfn.IFS(A444&lt;13, "Child", A444&lt;20, "Teenager", A444&lt;40, "Young Adult", A444&lt;60, "Senior Adult", A444&gt;=60, "Elderly")</f>
        <v>Teenager</v>
      </c>
    </row>
    <row r="445" spans="1:8" x14ac:dyDescent="0.25">
      <c r="A445" s="1">
        <v>59</v>
      </c>
      <c r="B445" t="s">
        <v>7</v>
      </c>
      <c r="C445" s="2">
        <v>36.5</v>
      </c>
      <c r="D445" s="1">
        <v>1</v>
      </c>
      <c r="E445" t="s">
        <v>10</v>
      </c>
      <c r="F445" t="s">
        <v>12</v>
      </c>
      <c r="G445" s="3">
        <v>28287.9</v>
      </c>
      <c r="H445" t="str" cm="1">
        <f t="array" ref="H445">_xlfn.IFS(A445&lt;13, "Child", A445&lt;20, "Teenager", A445&lt;40, "Young Adult", A445&lt;60, "Senior Adult", A445&gt;=60, "Elderly")</f>
        <v>Senior Adult</v>
      </c>
    </row>
    <row r="446" spans="1:8" x14ac:dyDescent="0.25">
      <c r="A446" s="1">
        <v>56</v>
      </c>
      <c r="B446" t="s">
        <v>8</v>
      </c>
      <c r="C446" s="2">
        <v>26.7</v>
      </c>
      <c r="D446" s="1">
        <v>1</v>
      </c>
      <c r="E446" t="s">
        <v>9</v>
      </c>
      <c r="F446" t="s">
        <v>13</v>
      </c>
      <c r="G446" s="3">
        <v>26109.33</v>
      </c>
      <c r="H446" t="str" cm="1">
        <f t="array" ref="H446">_xlfn.IFS(A446&lt;13, "Child", A446&lt;20, "Teenager", A446&lt;40, "Young Adult", A446&lt;60, "Senior Adult", A446&gt;=60, "Elderly")</f>
        <v>Senior Adult</v>
      </c>
    </row>
    <row r="447" spans="1:8" x14ac:dyDescent="0.25">
      <c r="A447" s="1">
        <v>45</v>
      </c>
      <c r="B447" t="s">
        <v>7</v>
      </c>
      <c r="C447" s="2">
        <v>33.1</v>
      </c>
      <c r="D447" s="1">
        <v>0</v>
      </c>
      <c r="E447" t="s">
        <v>10</v>
      </c>
      <c r="F447" t="s">
        <v>11</v>
      </c>
      <c r="G447" s="3">
        <v>7345.08</v>
      </c>
      <c r="H447" t="str" cm="1">
        <f t="array" ref="H447">_xlfn.IFS(A447&lt;13, "Child", A447&lt;20, "Teenager", A447&lt;40, "Young Adult", A447&lt;60, "Senior Adult", A447&gt;=60, "Elderly")</f>
        <v>Senior Adult</v>
      </c>
    </row>
    <row r="448" spans="1:8" x14ac:dyDescent="0.25">
      <c r="A448" s="1">
        <v>60</v>
      </c>
      <c r="B448" t="s">
        <v>8</v>
      </c>
      <c r="C448" s="2">
        <v>29.6</v>
      </c>
      <c r="D448" s="1">
        <v>0</v>
      </c>
      <c r="E448" t="s">
        <v>10</v>
      </c>
      <c r="F448" t="s">
        <v>14</v>
      </c>
      <c r="G448" s="3">
        <v>12731</v>
      </c>
      <c r="H448" t="str" cm="1">
        <f t="array" ref="H448">_xlfn.IFS(A448&lt;13, "Child", A448&lt;20, "Teenager", A448&lt;40, "Young Adult", A448&lt;60, "Senior Adult", A448&gt;=60, "Elderly")</f>
        <v>Elderly</v>
      </c>
    </row>
    <row r="449" spans="1:8" x14ac:dyDescent="0.25">
      <c r="A449" s="1">
        <v>56</v>
      </c>
      <c r="B449" t="s">
        <v>7</v>
      </c>
      <c r="C449" s="2">
        <v>25.7</v>
      </c>
      <c r="D449" s="1">
        <v>0</v>
      </c>
      <c r="E449" t="s">
        <v>10</v>
      </c>
      <c r="F449" t="s">
        <v>13</v>
      </c>
      <c r="G449" s="3">
        <v>11454.02</v>
      </c>
      <c r="H449" t="str" cm="1">
        <f t="array" ref="H449">_xlfn.IFS(A449&lt;13, "Child", A449&lt;20, "Teenager", A449&lt;40, "Young Adult", A449&lt;60, "Senior Adult", A449&gt;=60, "Elderly")</f>
        <v>Senior Adult</v>
      </c>
    </row>
    <row r="450" spans="1:8" x14ac:dyDescent="0.25">
      <c r="A450" s="1">
        <v>40</v>
      </c>
      <c r="B450" t="s">
        <v>7</v>
      </c>
      <c r="C450" s="2">
        <v>29.6</v>
      </c>
      <c r="D450" s="1">
        <v>0</v>
      </c>
      <c r="E450" t="s">
        <v>10</v>
      </c>
      <c r="F450" t="s">
        <v>11</v>
      </c>
      <c r="G450" s="3">
        <v>5910.94</v>
      </c>
      <c r="H450" t="str" cm="1">
        <f t="array" ref="H450">_xlfn.IFS(A450&lt;13, "Child", A450&lt;20, "Teenager", A450&lt;40, "Young Adult", A450&lt;60, "Senior Adult", A450&gt;=60, "Elderly")</f>
        <v>Senior Adult</v>
      </c>
    </row>
    <row r="451" spans="1:8" x14ac:dyDescent="0.25">
      <c r="A451" s="1">
        <v>35</v>
      </c>
      <c r="B451" t="s">
        <v>8</v>
      </c>
      <c r="C451" s="2">
        <v>38.6</v>
      </c>
      <c r="D451" s="1">
        <v>1</v>
      </c>
      <c r="E451" t="s">
        <v>10</v>
      </c>
      <c r="F451" t="s">
        <v>11</v>
      </c>
      <c r="G451" s="3">
        <v>4762.33</v>
      </c>
      <c r="H451" t="str" cm="1">
        <f t="array" ref="H451">_xlfn.IFS(A451&lt;13, "Child", A451&lt;20, "Teenager", A451&lt;40, "Young Adult", A451&lt;60, "Senior Adult", A451&gt;=60, "Elderly")</f>
        <v>Young Adult</v>
      </c>
    </row>
    <row r="452" spans="1:8" x14ac:dyDescent="0.25">
      <c r="A452" s="1">
        <v>39</v>
      </c>
      <c r="B452" t="s">
        <v>8</v>
      </c>
      <c r="C452" s="2">
        <v>29.6</v>
      </c>
      <c r="D452" s="1">
        <v>4</v>
      </c>
      <c r="E452" t="s">
        <v>10</v>
      </c>
      <c r="F452" t="s">
        <v>11</v>
      </c>
      <c r="G452" s="3">
        <v>7512.27</v>
      </c>
      <c r="H452" t="str" cm="1">
        <f t="array" ref="H452">_xlfn.IFS(A452&lt;13, "Child", A452&lt;20, "Teenager", A452&lt;40, "Young Adult", A452&lt;60, "Senior Adult", A452&gt;=60, "Elderly")</f>
        <v>Young Adult</v>
      </c>
    </row>
    <row r="453" spans="1:8" x14ac:dyDescent="0.25">
      <c r="A453" s="1">
        <v>30</v>
      </c>
      <c r="B453" t="s">
        <v>8</v>
      </c>
      <c r="C453" s="2">
        <v>24.1</v>
      </c>
      <c r="D453" s="1">
        <v>1</v>
      </c>
      <c r="E453" t="s">
        <v>10</v>
      </c>
      <c r="F453" t="s">
        <v>13</v>
      </c>
      <c r="G453" s="3">
        <v>4032.24</v>
      </c>
      <c r="H453" t="str" cm="1">
        <f t="array" ref="H453">_xlfn.IFS(A453&lt;13, "Child", A453&lt;20, "Teenager", A453&lt;40, "Young Adult", A453&lt;60, "Senior Adult", A453&gt;=60, "Elderly")</f>
        <v>Young Adult</v>
      </c>
    </row>
    <row r="454" spans="1:8" x14ac:dyDescent="0.25">
      <c r="A454" s="1">
        <v>24</v>
      </c>
      <c r="B454" t="s">
        <v>8</v>
      </c>
      <c r="C454" s="2">
        <v>23.4</v>
      </c>
      <c r="D454" s="1">
        <v>0</v>
      </c>
      <c r="E454" t="s">
        <v>10</v>
      </c>
      <c r="F454" t="s">
        <v>11</v>
      </c>
      <c r="G454" s="3">
        <v>1969.61</v>
      </c>
      <c r="H454" t="str" cm="1">
        <f t="array" ref="H454">_xlfn.IFS(A454&lt;13, "Child", A454&lt;20, "Teenager", A454&lt;40, "Young Adult", A454&lt;60, "Senior Adult", A454&gt;=60, "Elderly")</f>
        <v>Young Adult</v>
      </c>
    </row>
    <row r="455" spans="1:8" x14ac:dyDescent="0.25">
      <c r="A455" s="1">
        <v>20</v>
      </c>
      <c r="B455" t="s">
        <v>8</v>
      </c>
      <c r="C455" s="2">
        <v>29.7</v>
      </c>
      <c r="D455" s="1">
        <v>0</v>
      </c>
      <c r="E455" t="s">
        <v>10</v>
      </c>
      <c r="F455" t="s">
        <v>13</v>
      </c>
      <c r="G455" s="3">
        <v>1769.53</v>
      </c>
      <c r="H455" t="str" cm="1">
        <f t="array" ref="H455">_xlfn.IFS(A455&lt;13, "Child", A455&lt;20, "Teenager", A455&lt;40, "Young Adult", A455&lt;60, "Senior Adult", A455&gt;=60, "Elderly")</f>
        <v>Young Adult</v>
      </c>
    </row>
    <row r="456" spans="1:8" x14ac:dyDescent="0.25">
      <c r="A456" s="1">
        <v>32</v>
      </c>
      <c r="B456" t="s">
        <v>8</v>
      </c>
      <c r="C456" s="2">
        <v>46.5</v>
      </c>
      <c r="D456" s="1">
        <v>2</v>
      </c>
      <c r="E456" t="s">
        <v>10</v>
      </c>
      <c r="F456" t="s">
        <v>12</v>
      </c>
      <c r="G456" s="3">
        <v>4686.3900000000003</v>
      </c>
      <c r="H456" t="str" cm="1">
        <f t="array" ref="H456">_xlfn.IFS(A456&lt;13, "Child", A456&lt;20, "Teenager", A456&lt;40, "Young Adult", A456&lt;60, "Senior Adult", A456&gt;=60, "Elderly")</f>
        <v>Young Adult</v>
      </c>
    </row>
    <row r="457" spans="1:8" x14ac:dyDescent="0.25">
      <c r="A457" s="1">
        <v>59</v>
      </c>
      <c r="B457" t="s">
        <v>8</v>
      </c>
      <c r="C457" s="2">
        <v>37.4</v>
      </c>
      <c r="D457" s="1">
        <v>0</v>
      </c>
      <c r="E457" t="s">
        <v>10</v>
      </c>
      <c r="F457" t="s">
        <v>11</v>
      </c>
      <c r="G457" s="3">
        <v>21797</v>
      </c>
      <c r="H457" t="str" cm="1">
        <f t="array" ref="H457">_xlfn.IFS(A457&lt;13, "Child", A457&lt;20, "Teenager", A457&lt;40, "Young Adult", A457&lt;60, "Senior Adult", A457&gt;=60, "Elderly")</f>
        <v>Senior Adult</v>
      </c>
    </row>
    <row r="458" spans="1:8" x14ac:dyDescent="0.25">
      <c r="A458" s="1">
        <v>55</v>
      </c>
      <c r="B458" t="s">
        <v>7</v>
      </c>
      <c r="C458" s="2">
        <v>30.1</v>
      </c>
      <c r="D458" s="1">
        <v>2</v>
      </c>
      <c r="E458" t="s">
        <v>10</v>
      </c>
      <c r="F458" t="s">
        <v>12</v>
      </c>
      <c r="G458" s="3">
        <v>11881.97</v>
      </c>
      <c r="H458" t="str" cm="1">
        <f t="array" ref="H458">_xlfn.IFS(A458&lt;13, "Child", A458&lt;20, "Teenager", A458&lt;40, "Young Adult", A458&lt;60, "Senior Adult", A458&gt;=60, "Elderly")</f>
        <v>Senior Adult</v>
      </c>
    </row>
    <row r="459" spans="1:8" x14ac:dyDescent="0.25">
      <c r="A459" s="1">
        <v>57</v>
      </c>
      <c r="B459" t="s">
        <v>7</v>
      </c>
      <c r="C459" s="2">
        <v>30.5</v>
      </c>
      <c r="D459" s="1">
        <v>0</v>
      </c>
      <c r="E459" t="s">
        <v>10</v>
      </c>
      <c r="F459" t="s">
        <v>13</v>
      </c>
      <c r="G459" s="3">
        <v>11840.78</v>
      </c>
      <c r="H459" t="str" cm="1">
        <f t="array" ref="H459">_xlfn.IFS(A459&lt;13, "Child", A459&lt;20, "Teenager", A459&lt;40, "Young Adult", A459&lt;60, "Senior Adult", A459&gt;=60, "Elderly")</f>
        <v>Senior Adult</v>
      </c>
    </row>
    <row r="460" spans="1:8" x14ac:dyDescent="0.25">
      <c r="A460" s="1">
        <v>56</v>
      </c>
      <c r="B460" t="s">
        <v>8</v>
      </c>
      <c r="C460" s="2">
        <v>39.6</v>
      </c>
      <c r="D460" s="1">
        <v>0</v>
      </c>
      <c r="E460" t="s">
        <v>10</v>
      </c>
      <c r="F460" t="s">
        <v>11</v>
      </c>
      <c r="G460" s="3">
        <v>10601.41</v>
      </c>
      <c r="H460" t="str" cm="1">
        <f t="array" ref="H460">_xlfn.IFS(A460&lt;13, "Child", A460&lt;20, "Teenager", A460&lt;40, "Young Adult", A460&lt;60, "Senior Adult", A460&gt;=60, "Elderly")</f>
        <v>Senior Adult</v>
      </c>
    </row>
    <row r="461" spans="1:8" x14ac:dyDescent="0.25">
      <c r="A461" s="1">
        <v>40</v>
      </c>
      <c r="B461" t="s">
        <v>7</v>
      </c>
      <c r="C461" s="2">
        <v>33</v>
      </c>
      <c r="D461" s="1">
        <v>3</v>
      </c>
      <c r="E461" t="s">
        <v>10</v>
      </c>
      <c r="F461" t="s">
        <v>12</v>
      </c>
      <c r="G461" s="3">
        <v>7682.67</v>
      </c>
      <c r="H461" t="str" cm="1">
        <f t="array" ref="H461">_xlfn.IFS(A461&lt;13, "Child", A461&lt;20, "Teenager", A461&lt;40, "Young Adult", A461&lt;60, "Senior Adult", A461&gt;=60, "Elderly")</f>
        <v>Senior Adult</v>
      </c>
    </row>
    <row r="462" spans="1:8" x14ac:dyDescent="0.25">
      <c r="A462" s="1">
        <v>49</v>
      </c>
      <c r="B462" t="s">
        <v>7</v>
      </c>
      <c r="C462" s="2">
        <v>36.6</v>
      </c>
      <c r="D462" s="1">
        <v>3</v>
      </c>
      <c r="E462" t="s">
        <v>10</v>
      </c>
      <c r="F462" t="s">
        <v>12</v>
      </c>
      <c r="G462" s="3">
        <v>10381.48</v>
      </c>
      <c r="H462" t="str" cm="1">
        <f t="array" ref="H462">_xlfn.IFS(A462&lt;13, "Child", A462&lt;20, "Teenager", A462&lt;40, "Young Adult", A462&lt;60, "Senior Adult", A462&gt;=60, "Elderly")</f>
        <v>Senior Adult</v>
      </c>
    </row>
    <row r="463" spans="1:8" x14ac:dyDescent="0.25">
      <c r="A463" s="1">
        <v>42</v>
      </c>
      <c r="B463" t="s">
        <v>8</v>
      </c>
      <c r="C463" s="2">
        <v>30</v>
      </c>
      <c r="D463" s="1">
        <v>0</v>
      </c>
      <c r="E463" t="s">
        <v>9</v>
      </c>
      <c r="F463" t="s">
        <v>11</v>
      </c>
      <c r="G463" s="3">
        <v>22144.03</v>
      </c>
      <c r="H463" t="str" cm="1">
        <f t="array" ref="H463">_xlfn.IFS(A463&lt;13, "Child", A463&lt;20, "Teenager", A463&lt;40, "Young Adult", A463&lt;60, "Senior Adult", A463&gt;=60, "Elderly")</f>
        <v>Senior Adult</v>
      </c>
    </row>
    <row r="464" spans="1:8" x14ac:dyDescent="0.25">
      <c r="A464" s="1">
        <v>62</v>
      </c>
      <c r="B464" t="s">
        <v>7</v>
      </c>
      <c r="C464" s="2">
        <v>38.1</v>
      </c>
      <c r="D464" s="1">
        <v>2</v>
      </c>
      <c r="E464" t="s">
        <v>10</v>
      </c>
      <c r="F464" t="s">
        <v>14</v>
      </c>
      <c r="G464" s="3">
        <v>15230.32</v>
      </c>
      <c r="H464" t="str" cm="1">
        <f t="array" ref="H464">_xlfn.IFS(A464&lt;13, "Child", A464&lt;20, "Teenager", A464&lt;40, "Young Adult", A464&lt;60, "Senior Adult", A464&gt;=60, "Elderly")</f>
        <v>Elderly</v>
      </c>
    </row>
    <row r="465" spans="1:8" x14ac:dyDescent="0.25">
      <c r="A465" s="1">
        <v>56</v>
      </c>
      <c r="B465" t="s">
        <v>8</v>
      </c>
      <c r="C465" s="2">
        <v>25.9</v>
      </c>
      <c r="D465" s="1">
        <v>0</v>
      </c>
      <c r="E465" t="s">
        <v>10</v>
      </c>
      <c r="F465" t="s">
        <v>14</v>
      </c>
      <c r="G465" s="3">
        <v>11165.42</v>
      </c>
      <c r="H465" t="str" cm="1">
        <f t="array" ref="H465">_xlfn.IFS(A465&lt;13, "Child", A465&lt;20, "Teenager", A465&lt;40, "Young Adult", A465&lt;60, "Senior Adult", A465&gt;=60, "Elderly")</f>
        <v>Senior Adult</v>
      </c>
    </row>
    <row r="466" spans="1:8" x14ac:dyDescent="0.25">
      <c r="A466" s="1">
        <v>19</v>
      </c>
      <c r="B466" t="s">
        <v>8</v>
      </c>
      <c r="C466" s="2">
        <v>25.2</v>
      </c>
      <c r="D466" s="1">
        <v>0</v>
      </c>
      <c r="E466" t="s">
        <v>10</v>
      </c>
      <c r="F466" t="s">
        <v>13</v>
      </c>
      <c r="G466" s="3">
        <v>1632.04</v>
      </c>
      <c r="H466" t="str" cm="1">
        <f t="array" ref="H466">_xlfn.IFS(A466&lt;13, "Child", A466&lt;20, "Teenager", A466&lt;40, "Young Adult", A466&lt;60, "Senior Adult", A466&gt;=60, "Elderly")</f>
        <v>Teenager</v>
      </c>
    </row>
    <row r="467" spans="1:8" x14ac:dyDescent="0.25">
      <c r="A467" s="1">
        <v>30</v>
      </c>
      <c r="B467" t="s">
        <v>7</v>
      </c>
      <c r="C467" s="2">
        <v>28.4</v>
      </c>
      <c r="D467" s="1">
        <v>1</v>
      </c>
      <c r="E467" t="s">
        <v>9</v>
      </c>
      <c r="F467" t="s">
        <v>12</v>
      </c>
      <c r="G467" s="3">
        <v>19521.97</v>
      </c>
      <c r="H467" t="str" cm="1">
        <f t="array" ref="H467">_xlfn.IFS(A467&lt;13, "Child", A467&lt;20, "Teenager", A467&lt;40, "Young Adult", A467&lt;60, "Senior Adult", A467&gt;=60, "Elderly")</f>
        <v>Young Adult</v>
      </c>
    </row>
    <row r="468" spans="1:8" x14ac:dyDescent="0.25">
      <c r="A468" s="1">
        <v>60</v>
      </c>
      <c r="B468" t="s">
        <v>7</v>
      </c>
      <c r="C468" s="2">
        <v>28.7</v>
      </c>
      <c r="D468" s="1">
        <v>1</v>
      </c>
      <c r="E468" t="s">
        <v>10</v>
      </c>
      <c r="F468" t="s">
        <v>11</v>
      </c>
      <c r="G468" s="3">
        <v>13224.69</v>
      </c>
      <c r="H468" t="str" cm="1">
        <f t="array" ref="H468">_xlfn.IFS(A468&lt;13, "Child", A468&lt;20, "Teenager", A468&lt;40, "Young Adult", A468&lt;60, "Senior Adult", A468&gt;=60, "Elderly")</f>
        <v>Elderly</v>
      </c>
    </row>
    <row r="469" spans="1:8" x14ac:dyDescent="0.25">
      <c r="A469" s="1">
        <v>56</v>
      </c>
      <c r="B469" t="s">
        <v>7</v>
      </c>
      <c r="C469" s="2">
        <v>33.799999999999997</v>
      </c>
      <c r="D469" s="1">
        <v>2</v>
      </c>
      <c r="E469" t="s">
        <v>10</v>
      </c>
      <c r="F469" t="s">
        <v>13</v>
      </c>
      <c r="G469" s="3">
        <v>12643.38</v>
      </c>
      <c r="H469" t="str" cm="1">
        <f t="array" ref="H469">_xlfn.IFS(A469&lt;13, "Child", A469&lt;20, "Teenager", A469&lt;40, "Young Adult", A469&lt;60, "Senior Adult", A469&gt;=60, "Elderly")</f>
        <v>Senior Adult</v>
      </c>
    </row>
    <row r="470" spans="1:8" x14ac:dyDescent="0.25">
      <c r="A470" s="1">
        <v>28</v>
      </c>
      <c r="B470" t="s">
        <v>7</v>
      </c>
      <c r="C470" s="2">
        <v>24.3</v>
      </c>
      <c r="D470" s="1">
        <v>1</v>
      </c>
      <c r="E470" t="s">
        <v>10</v>
      </c>
      <c r="F470" t="s">
        <v>14</v>
      </c>
      <c r="G470" s="3">
        <v>23288.93</v>
      </c>
      <c r="H470" t="str" cm="1">
        <f t="array" ref="H470">_xlfn.IFS(A470&lt;13, "Child", A470&lt;20, "Teenager", A470&lt;40, "Young Adult", A470&lt;60, "Senior Adult", A470&gt;=60, "Elderly")</f>
        <v>Young Adult</v>
      </c>
    </row>
    <row r="471" spans="1:8" x14ac:dyDescent="0.25">
      <c r="A471" s="1">
        <v>18</v>
      </c>
      <c r="B471" t="s">
        <v>7</v>
      </c>
      <c r="C471" s="2">
        <v>24.1</v>
      </c>
      <c r="D471" s="1">
        <v>1</v>
      </c>
      <c r="E471" t="s">
        <v>10</v>
      </c>
      <c r="F471" t="s">
        <v>12</v>
      </c>
      <c r="G471" s="3">
        <v>2201.1</v>
      </c>
      <c r="H471" t="str" cm="1">
        <f t="array" ref="H471">_xlfn.IFS(A471&lt;13, "Child", A471&lt;20, "Teenager", A471&lt;40, "Young Adult", A471&lt;60, "Senior Adult", A471&gt;=60, "Elderly")</f>
        <v>Teenager</v>
      </c>
    </row>
    <row r="472" spans="1:8" x14ac:dyDescent="0.25">
      <c r="A472" s="1">
        <v>27</v>
      </c>
      <c r="B472" t="s">
        <v>8</v>
      </c>
      <c r="C472" s="2">
        <v>32.700000000000003</v>
      </c>
      <c r="D472" s="1">
        <v>0</v>
      </c>
      <c r="E472" t="s">
        <v>10</v>
      </c>
      <c r="F472" t="s">
        <v>12</v>
      </c>
      <c r="G472" s="3">
        <v>2497.04</v>
      </c>
      <c r="H472" t="str" cm="1">
        <f t="array" ref="H472">_xlfn.IFS(A472&lt;13, "Child", A472&lt;20, "Teenager", A472&lt;40, "Young Adult", A472&lt;60, "Senior Adult", A472&gt;=60, "Elderly")</f>
        <v>Young Adult</v>
      </c>
    </row>
    <row r="473" spans="1:8" x14ac:dyDescent="0.25">
      <c r="A473" s="1">
        <v>18</v>
      </c>
      <c r="B473" t="s">
        <v>7</v>
      </c>
      <c r="C473" s="2">
        <v>30.1</v>
      </c>
      <c r="D473" s="1">
        <v>0</v>
      </c>
      <c r="E473" t="s">
        <v>10</v>
      </c>
      <c r="F473" t="s">
        <v>14</v>
      </c>
      <c r="G473" s="3">
        <v>2203.4699999999998</v>
      </c>
      <c r="H473" t="str" cm="1">
        <f t="array" ref="H473">_xlfn.IFS(A473&lt;13, "Child", A473&lt;20, "Teenager", A473&lt;40, "Young Adult", A473&lt;60, "Senior Adult", A473&gt;=60, "Elderly")</f>
        <v>Teenager</v>
      </c>
    </row>
    <row r="474" spans="1:8" x14ac:dyDescent="0.25">
      <c r="A474" s="1">
        <v>19</v>
      </c>
      <c r="B474" t="s">
        <v>7</v>
      </c>
      <c r="C474" s="2">
        <v>29.8</v>
      </c>
      <c r="D474" s="1">
        <v>0</v>
      </c>
      <c r="E474" t="s">
        <v>10</v>
      </c>
      <c r="F474" t="s">
        <v>11</v>
      </c>
      <c r="G474" s="3">
        <v>1744.47</v>
      </c>
      <c r="H474" t="str" cm="1">
        <f t="array" ref="H474">_xlfn.IFS(A474&lt;13, "Child", A474&lt;20, "Teenager", A474&lt;40, "Young Adult", A474&lt;60, "Senior Adult", A474&gt;=60, "Elderly")</f>
        <v>Teenager</v>
      </c>
    </row>
    <row r="475" spans="1:8" x14ac:dyDescent="0.25">
      <c r="A475" s="1">
        <v>47</v>
      </c>
      <c r="B475" t="s">
        <v>7</v>
      </c>
      <c r="C475" s="2">
        <v>33.299999999999997</v>
      </c>
      <c r="D475" s="1">
        <v>0</v>
      </c>
      <c r="E475" t="s">
        <v>10</v>
      </c>
      <c r="F475" t="s">
        <v>14</v>
      </c>
      <c r="G475" s="3">
        <v>20878.78</v>
      </c>
      <c r="H475" t="str" cm="1">
        <f t="array" ref="H475">_xlfn.IFS(A475&lt;13, "Child", A475&lt;20, "Teenager", A475&lt;40, "Young Adult", A475&lt;60, "Senior Adult", A475&gt;=60, "Elderly")</f>
        <v>Senior Adult</v>
      </c>
    </row>
    <row r="476" spans="1:8" x14ac:dyDescent="0.25">
      <c r="A476" s="1">
        <v>54</v>
      </c>
      <c r="B476" t="s">
        <v>8</v>
      </c>
      <c r="C476" s="2">
        <v>25.1</v>
      </c>
      <c r="D476" s="1">
        <v>3</v>
      </c>
      <c r="E476" t="s">
        <v>9</v>
      </c>
      <c r="F476" t="s">
        <v>11</v>
      </c>
      <c r="G476" s="3">
        <v>25382.3</v>
      </c>
      <c r="H476" t="str" cm="1">
        <f t="array" ref="H476">_xlfn.IFS(A476&lt;13, "Child", A476&lt;20, "Teenager", A476&lt;40, "Young Adult", A476&lt;60, "Senior Adult", A476&gt;=60, "Elderly")</f>
        <v>Senior Adult</v>
      </c>
    </row>
    <row r="477" spans="1:8" x14ac:dyDescent="0.25">
      <c r="A477" s="1">
        <v>61</v>
      </c>
      <c r="B477" t="s">
        <v>8</v>
      </c>
      <c r="C477" s="2">
        <v>28.3</v>
      </c>
      <c r="D477" s="1">
        <v>1</v>
      </c>
      <c r="E477" t="s">
        <v>9</v>
      </c>
      <c r="F477" t="s">
        <v>13</v>
      </c>
      <c r="G477" s="3">
        <v>28868.66</v>
      </c>
      <c r="H477" t="str" cm="1">
        <f t="array" ref="H477">_xlfn.IFS(A477&lt;13, "Child", A477&lt;20, "Teenager", A477&lt;40, "Young Adult", A477&lt;60, "Senior Adult", A477&gt;=60, "Elderly")</f>
        <v>Elderly</v>
      </c>
    </row>
    <row r="478" spans="1:8" x14ac:dyDescent="0.25">
      <c r="A478" s="1">
        <v>24</v>
      </c>
      <c r="B478" t="s">
        <v>8</v>
      </c>
      <c r="C478" s="2">
        <v>28.5</v>
      </c>
      <c r="D478" s="1">
        <v>0</v>
      </c>
      <c r="E478" t="s">
        <v>9</v>
      </c>
      <c r="F478" t="s">
        <v>14</v>
      </c>
      <c r="G478" s="3">
        <v>35147.53</v>
      </c>
      <c r="H478" t="str" cm="1">
        <f t="array" ref="H478">_xlfn.IFS(A478&lt;13, "Child", A478&lt;20, "Teenager", A478&lt;40, "Young Adult", A478&lt;60, "Senior Adult", A478&gt;=60, "Elderly")</f>
        <v>Young Adult</v>
      </c>
    </row>
    <row r="479" spans="1:8" x14ac:dyDescent="0.25">
      <c r="A479" s="1">
        <v>25</v>
      </c>
      <c r="B479" t="s">
        <v>8</v>
      </c>
      <c r="C479" s="2">
        <v>35.6</v>
      </c>
      <c r="D479" s="1">
        <v>0</v>
      </c>
      <c r="E479" t="s">
        <v>10</v>
      </c>
      <c r="F479" t="s">
        <v>13</v>
      </c>
      <c r="G479" s="3">
        <v>2534.39</v>
      </c>
      <c r="H479" t="str" cm="1">
        <f t="array" ref="H479">_xlfn.IFS(A479&lt;13, "Child", A479&lt;20, "Teenager", A479&lt;40, "Young Adult", A479&lt;60, "Senior Adult", A479&gt;=60, "Elderly")</f>
        <v>Young Adult</v>
      </c>
    </row>
    <row r="480" spans="1:8" x14ac:dyDescent="0.25">
      <c r="A480" s="1">
        <v>21</v>
      </c>
      <c r="B480" t="s">
        <v>8</v>
      </c>
      <c r="C480" s="2">
        <v>36.9</v>
      </c>
      <c r="D480" s="1">
        <v>0</v>
      </c>
      <c r="E480" t="s">
        <v>10</v>
      </c>
      <c r="F480" t="s">
        <v>12</v>
      </c>
      <c r="G480" s="3">
        <v>1534.3</v>
      </c>
      <c r="H480" t="str" cm="1">
        <f t="array" ref="H480">_xlfn.IFS(A480&lt;13, "Child", A480&lt;20, "Teenager", A480&lt;40, "Young Adult", A480&lt;60, "Senior Adult", A480&gt;=60, "Elderly")</f>
        <v>Young Adult</v>
      </c>
    </row>
    <row r="481" spans="1:8" x14ac:dyDescent="0.25">
      <c r="A481" s="1">
        <v>23</v>
      </c>
      <c r="B481" t="s">
        <v>8</v>
      </c>
      <c r="C481" s="2">
        <v>32.6</v>
      </c>
      <c r="D481" s="1">
        <v>0</v>
      </c>
      <c r="E481" t="s">
        <v>10</v>
      </c>
      <c r="F481" t="s">
        <v>12</v>
      </c>
      <c r="G481" s="3">
        <v>1824.29</v>
      </c>
      <c r="H481" t="str" cm="1">
        <f t="array" ref="H481">_xlfn.IFS(A481&lt;13, "Child", A481&lt;20, "Teenager", A481&lt;40, "Young Adult", A481&lt;60, "Senior Adult", A481&gt;=60, "Elderly")</f>
        <v>Young Adult</v>
      </c>
    </row>
    <row r="482" spans="1:8" x14ac:dyDescent="0.25">
      <c r="A482" s="1">
        <v>63</v>
      </c>
      <c r="B482" t="s">
        <v>8</v>
      </c>
      <c r="C482" s="2">
        <v>41.3</v>
      </c>
      <c r="D482" s="1">
        <v>3</v>
      </c>
      <c r="E482" t="s">
        <v>10</v>
      </c>
      <c r="F482" t="s">
        <v>13</v>
      </c>
      <c r="G482" s="3">
        <v>15555.19</v>
      </c>
      <c r="H482" t="str" cm="1">
        <f t="array" ref="H482">_xlfn.IFS(A482&lt;13, "Child", A482&lt;20, "Teenager", A482&lt;40, "Young Adult", A482&lt;60, "Senior Adult", A482&gt;=60, "Elderly")</f>
        <v>Elderly</v>
      </c>
    </row>
    <row r="483" spans="1:8" x14ac:dyDescent="0.25">
      <c r="A483" s="1">
        <v>49</v>
      </c>
      <c r="B483" t="s">
        <v>8</v>
      </c>
      <c r="C483" s="2">
        <v>37.5</v>
      </c>
      <c r="D483" s="1">
        <v>2</v>
      </c>
      <c r="E483" t="s">
        <v>10</v>
      </c>
      <c r="F483" t="s">
        <v>12</v>
      </c>
      <c r="G483" s="3">
        <v>9304.7000000000007</v>
      </c>
      <c r="H483" t="str" cm="1">
        <f t="array" ref="H483">_xlfn.IFS(A483&lt;13, "Child", A483&lt;20, "Teenager", A483&lt;40, "Young Adult", A483&lt;60, "Senior Adult", A483&gt;=60, "Elderly")</f>
        <v>Senior Adult</v>
      </c>
    </row>
    <row r="484" spans="1:8" x14ac:dyDescent="0.25">
      <c r="A484" s="1">
        <v>18</v>
      </c>
      <c r="B484" t="s">
        <v>7</v>
      </c>
      <c r="C484" s="2">
        <v>31.4</v>
      </c>
      <c r="D484" s="1">
        <v>0</v>
      </c>
      <c r="E484" t="s">
        <v>10</v>
      </c>
      <c r="F484" t="s">
        <v>12</v>
      </c>
      <c r="G484" s="3">
        <v>1622.19</v>
      </c>
      <c r="H484" t="str" cm="1">
        <f t="array" ref="H484">_xlfn.IFS(A484&lt;13, "Child", A484&lt;20, "Teenager", A484&lt;40, "Young Adult", A484&lt;60, "Senior Adult", A484&gt;=60, "Elderly")</f>
        <v>Teenager</v>
      </c>
    </row>
    <row r="485" spans="1:8" x14ac:dyDescent="0.25">
      <c r="A485" s="1">
        <v>51</v>
      </c>
      <c r="B485" t="s">
        <v>7</v>
      </c>
      <c r="C485" s="2">
        <v>39.5</v>
      </c>
      <c r="D485" s="1">
        <v>1</v>
      </c>
      <c r="E485" t="s">
        <v>10</v>
      </c>
      <c r="F485" t="s">
        <v>11</v>
      </c>
      <c r="G485" s="3">
        <v>9880.07</v>
      </c>
      <c r="H485" t="str" cm="1">
        <f t="array" ref="H485">_xlfn.IFS(A485&lt;13, "Child", A485&lt;20, "Teenager", A485&lt;40, "Young Adult", A485&lt;60, "Senior Adult", A485&gt;=60, "Elderly")</f>
        <v>Senior Adult</v>
      </c>
    </row>
    <row r="486" spans="1:8" x14ac:dyDescent="0.25">
      <c r="A486" s="1">
        <v>48</v>
      </c>
      <c r="B486" t="s">
        <v>8</v>
      </c>
      <c r="C486" s="2">
        <v>34.299999999999997</v>
      </c>
      <c r="D486" s="1">
        <v>3</v>
      </c>
      <c r="E486" t="s">
        <v>10</v>
      </c>
      <c r="F486" t="s">
        <v>11</v>
      </c>
      <c r="G486" s="3">
        <v>9563.0300000000007</v>
      </c>
      <c r="H486" t="str" cm="1">
        <f t="array" ref="H486">_xlfn.IFS(A486&lt;13, "Child", A486&lt;20, "Teenager", A486&lt;40, "Young Adult", A486&lt;60, "Senior Adult", A486&gt;=60, "Elderly")</f>
        <v>Senior Adult</v>
      </c>
    </row>
    <row r="487" spans="1:8" x14ac:dyDescent="0.25">
      <c r="A487" s="1">
        <v>31</v>
      </c>
      <c r="B487" t="s">
        <v>7</v>
      </c>
      <c r="C487" s="2">
        <v>31.1</v>
      </c>
      <c r="D487" s="1">
        <v>0</v>
      </c>
      <c r="E487" t="s">
        <v>10</v>
      </c>
      <c r="F487" t="s">
        <v>14</v>
      </c>
      <c r="G487" s="3">
        <v>4347.0200000000004</v>
      </c>
      <c r="H487" t="str" cm="1">
        <f t="array" ref="H487">_xlfn.IFS(A487&lt;13, "Child", A487&lt;20, "Teenager", A487&lt;40, "Young Adult", A487&lt;60, "Senior Adult", A487&gt;=60, "Elderly")</f>
        <v>Young Adult</v>
      </c>
    </row>
    <row r="488" spans="1:8" x14ac:dyDescent="0.25">
      <c r="A488" s="1">
        <v>54</v>
      </c>
      <c r="B488" t="s">
        <v>7</v>
      </c>
      <c r="C488" s="2">
        <v>21.5</v>
      </c>
      <c r="D488" s="1">
        <v>3</v>
      </c>
      <c r="E488" t="s">
        <v>10</v>
      </c>
      <c r="F488" t="s">
        <v>13</v>
      </c>
      <c r="G488" s="3">
        <v>12475.35</v>
      </c>
      <c r="H488" t="str" cm="1">
        <f t="array" ref="H488">_xlfn.IFS(A488&lt;13, "Child", A488&lt;20, "Teenager", A488&lt;40, "Young Adult", A488&lt;60, "Senior Adult", A488&gt;=60, "Elderly")</f>
        <v>Senior Adult</v>
      </c>
    </row>
    <row r="489" spans="1:8" x14ac:dyDescent="0.25">
      <c r="A489" s="1">
        <v>19</v>
      </c>
      <c r="B489" t="s">
        <v>8</v>
      </c>
      <c r="C489" s="2">
        <v>28.7</v>
      </c>
      <c r="D489" s="1">
        <v>0</v>
      </c>
      <c r="E489" t="s">
        <v>10</v>
      </c>
      <c r="F489" t="s">
        <v>11</v>
      </c>
      <c r="G489" s="3">
        <v>1253.94</v>
      </c>
      <c r="H489" t="str" cm="1">
        <f t="array" ref="H489">_xlfn.IFS(A489&lt;13, "Child", A489&lt;20, "Teenager", A489&lt;40, "Young Adult", A489&lt;60, "Senior Adult", A489&gt;=60, "Elderly")</f>
        <v>Teenager</v>
      </c>
    </row>
    <row r="490" spans="1:8" x14ac:dyDescent="0.25">
      <c r="A490" s="1">
        <v>44</v>
      </c>
      <c r="B490" t="s">
        <v>7</v>
      </c>
      <c r="C490" s="2">
        <v>38.1</v>
      </c>
      <c r="D490" s="1">
        <v>0</v>
      </c>
      <c r="E490" t="s">
        <v>9</v>
      </c>
      <c r="F490" t="s">
        <v>12</v>
      </c>
      <c r="G490" s="3">
        <v>48885.14</v>
      </c>
      <c r="H490" t="str" cm="1">
        <f t="array" ref="H490">_xlfn.IFS(A490&lt;13, "Child", A490&lt;20, "Teenager", A490&lt;40, "Young Adult", A490&lt;60, "Senior Adult", A490&gt;=60, "Elderly")</f>
        <v>Senior Adult</v>
      </c>
    </row>
    <row r="491" spans="1:8" x14ac:dyDescent="0.25">
      <c r="A491" s="1">
        <v>53</v>
      </c>
      <c r="B491" t="s">
        <v>8</v>
      </c>
      <c r="C491" s="2">
        <v>31.2</v>
      </c>
      <c r="D491" s="1">
        <v>1</v>
      </c>
      <c r="E491" t="s">
        <v>10</v>
      </c>
      <c r="F491" t="s">
        <v>13</v>
      </c>
      <c r="G491" s="3">
        <v>10461.98</v>
      </c>
      <c r="H491" t="str" cm="1">
        <f t="array" ref="H491">_xlfn.IFS(A491&lt;13, "Child", A491&lt;20, "Teenager", A491&lt;40, "Young Adult", A491&lt;60, "Senior Adult", A491&gt;=60, "Elderly")</f>
        <v>Senior Adult</v>
      </c>
    </row>
    <row r="492" spans="1:8" x14ac:dyDescent="0.25">
      <c r="A492" s="1">
        <v>19</v>
      </c>
      <c r="B492" t="s">
        <v>7</v>
      </c>
      <c r="C492" s="2">
        <v>32.9</v>
      </c>
      <c r="D492" s="1">
        <v>0</v>
      </c>
      <c r="E492" t="s">
        <v>10</v>
      </c>
      <c r="F492" t="s">
        <v>11</v>
      </c>
      <c r="G492" s="3">
        <v>1748.77</v>
      </c>
      <c r="H492" t="str" cm="1">
        <f t="array" ref="H492">_xlfn.IFS(A492&lt;13, "Child", A492&lt;20, "Teenager", A492&lt;40, "Young Adult", A492&lt;60, "Senior Adult", A492&gt;=60, "Elderly")</f>
        <v>Teenager</v>
      </c>
    </row>
    <row r="493" spans="1:8" x14ac:dyDescent="0.25">
      <c r="A493" s="1">
        <v>61</v>
      </c>
      <c r="B493" t="s">
        <v>7</v>
      </c>
      <c r="C493" s="2">
        <v>25.1</v>
      </c>
      <c r="D493" s="1">
        <v>0</v>
      </c>
      <c r="E493" t="s">
        <v>10</v>
      </c>
      <c r="F493" t="s">
        <v>12</v>
      </c>
      <c r="G493" s="3">
        <v>24513.09</v>
      </c>
      <c r="H493" t="str" cm="1">
        <f t="array" ref="H493">_xlfn.IFS(A493&lt;13, "Child", A493&lt;20, "Teenager", A493&lt;40, "Young Adult", A493&lt;60, "Senior Adult", A493&gt;=60, "Elderly")</f>
        <v>Elderly</v>
      </c>
    </row>
    <row r="494" spans="1:8" x14ac:dyDescent="0.25">
      <c r="A494" s="1">
        <v>18</v>
      </c>
      <c r="B494" t="s">
        <v>7</v>
      </c>
      <c r="C494" s="2">
        <v>25.1</v>
      </c>
      <c r="D494" s="1">
        <v>0</v>
      </c>
      <c r="E494" t="s">
        <v>10</v>
      </c>
      <c r="F494" t="s">
        <v>14</v>
      </c>
      <c r="G494" s="3">
        <v>2196.4699999999998</v>
      </c>
      <c r="H494" t="str" cm="1">
        <f t="array" ref="H494">_xlfn.IFS(A494&lt;13, "Child", A494&lt;20, "Teenager", A494&lt;40, "Young Adult", A494&lt;60, "Senior Adult", A494&gt;=60, "Elderly")</f>
        <v>Teenager</v>
      </c>
    </row>
    <row r="495" spans="1:8" x14ac:dyDescent="0.25">
      <c r="A495" s="1">
        <v>61</v>
      </c>
      <c r="B495" t="s">
        <v>8</v>
      </c>
      <c r="C495" s="2">
        <v>43.4</v>
      </c>
      <c r="D495" s="1">
        <v>0</v>
      </c>
      <c r="E495" t="s">
        <v>10</v>
      </c>
      <c r="F495" t="s">
        <v>11</v>
      </c>
      <c r="G495" s="3">
        <v>12574.05</v>
      </c>
      <c r="H495" t="str" cm="1">
        <f t="array" ref="H495">_xlfn.IFS(A495&lt;13, "Child", A495&lt;20, "Teenager", A495&lt;40, "Young Adult", A495&lt;60, "Senior Adult", A495&gt;=60, "Elderly")</f>
        <v>Elderly</v>
      </c>
    </row>
    <row r="496" spans="1:8" x14ac:dyDescent="0.25">
      <c r="A496" s="1">
        <v>21</v>
      </c>
      <c r="B496" t="s">
        <v>8</v>
      </c>
      <c r="C496" s="2">
        <v>25.7</v>
      </c>
      <c r="D496" s="1">
        <v>4</v>
      </c>
      <c r="E496" t="s">
        <v>9</v>
      </c>
      <c r="F496" t="s">
        <v>11</v>
      </c>
      <c r="G496" s="3">
        <v>17942.11</v>
      </c>
      <c r="H496" t="str" cm="1">
        <f t="array" ref="H496">_xlfn.IFS(A496&lt;13, "Child", A496&lt;20, "Teenager", A496&lt;40, "Young Adult", A496&lt;60, "Senior Adult", A496&gt;=60, "Elderly")</f>
        <v>Young Adult</v>
      </c>
    </row>
    <row r="497" spans="1:8" x14ac:dyDescent="0.25">
      <c r="A497" s="1">
        <v>20</v>
      </c>
      <c r="B497" t="s">
        <v>8</v>
      </c>
      <c r="C497" s="2">
        <v>27.9</v>
      </c>
      <c r="D497" s="1">
        <v>0</v>
      </c>
      <c r="E497" t="s">
        <v>10</v>
      </c>
      <c r="F497" t="s">
        <v>14</v>
      </c>
      <c r="G497" s="3">
        <v>1967.02</v>
      </c>
      <c r="H497" t="str" cm="1">
        <f t="array" ref="H497">_xlfn.IFS(A497&lt;13, "Child", A497&lt;20, "Teenager", A497&lt;40, "Young Adult", A497&lt;60, "Senior Adult", A497&gt;=60, "Elderly")</f>
        <v>Young Adult</v>
      </c>
    </row>
    <row r="498" spans="1:8" x14ac:dyDescent="0.25">
      <c r="A498" s="1">
        <v>31</v>
      </c>
      <c r="B498" t="s">
        <v>7</v>
      </c>
      <c r="C498" s="2">
        <v>23.6</v>
      </c>
      <c r="D498" s="1">
        <v>2</v>
      </c>
      <c r="E498" t="s">
        <v>10</v>
      </c>
      <c r="F498" t="s">
        <v>11</v>
      </c>
      <c r="G498" s="3">
        <v>4931.6499999999996</v>
      </c>
      <c r="H498" t="str" cm="1">
        <f t="array" ref="H498">_xlfn.IFS(A498&lt;13, "Child", A498&lt;20, "Teenager", A498&lt;40, "Young Adult", A498&lt;60, "Senior Adult", A498&gt;=60, "Elderly")</f>
        <v>Young Adult</v>
      </c>
    </row>
    <row r="499" spans="1:8" x14ac:dyDescent="0.25">
      <c r="A499" s="1">
        <v>45</v>
      </c>
      <c r="B499" t="s">
        <v>8</v>
      </c>
      <c r="C499" s="2">
        <v>28.7</v>
      </c>
      <c r="D499" s="1">
        <v>2</v>
      </c>
      <c r="E499" t="s">
        <v>10</v>
      </c>
      <c r="F499" t="s">
        <v>11</v>
      </c>
      <c r="G499" s="3">
        <v>8027.97</v>
      </c>
      <c r="H499" t="str" cm="1">
        <f t="array" ref="H499">_xlfn.IFS(A499&lt;13, "Child", A499&lt;20, "Teenager", A499&lt;40, "Young Adult", A499&lt;60, "Senior Adult", A499&gt;=60, "Elderly")</f>
        <v>Senior Adult</v>
      </c>
    </row>
    <row r="500" spans="1:8" x14ac:dyDescent="0.25">
      <c r="A500" s="1">
        <v>44</v>
      </c>
      <c r="B500" t="s">
        <v>7</v>
      </c>
      <c r="C500" s="2">
        <v>24</v>
      </c>
      <c r="D500" s="1">
        <v>2</v>
      </c>
      <c r="E500" t="s">
        <v>10</v>
      </c>
      <c r="F500" t="s">
        <v>12</v>
      </c>
      <c r="G500" s="3">
        <v>8211.1</v>
      </c>
      <c r="H500" t="str" cm="1">
        <f t="array" ref="H500">_xlfn.IFS(A500&lt;13, "Child", A500&lt;20, "Teenager", A500&lt;40, "Young Adult", A500&lt;60, "Senior Adult", A500&gt;=60, "Elderly")</f>
        <v>Senior Adult</v>
      </c>
    </row>
    <row r="501" spans="1:8" x14ac:dyDescent="0.25">
      <c r="A501" s="1">
        <v>62</v>
      </c>
      <c r="B501" t="s">
        <v>7</v>
      </c>
      <c r="C501" s="2">
        <v>39.200000000000003</v>
      </c>
      <c r="D501" s="1">
        <v>0</v>
      </c>
      <c r="E501" t="s">
        <v>10</v>
      </c>
      <c r="F501" t="s">
        <v>11</v>
      </c>
      <c r="G501" s="3">
        <v>13470.86</v>
      </c>
      <c r="H501" t="str" cm="1">
        <f t="array" ref="H501">_xlfn.IFS(A501&lt;13, "Child", A501&lt;20, "Teenager", A501&lt;40, "Young Adult", A501&lt;60, "Senior Adult", A501&gt;=60, "Elderly")</f>
        <v>Elderly</v>
      </c>
    </row>
    <row r="502" spans="1:8" x14ac:dyDescent="0.25">
      <c r="A502" s="1">
        <v>29</v>
      </c>
      <c r="B502" t="s">
        <v>8</v>
      </c>
      <c r="C502" s="2">
        <v>34.4</v>
      </c>
      <c r="D502" s="1">
        <v>0</v>
      </c>
      <c r="E502" t="s">
        <v>9</v>
      </c>
      <c r="F502" t="s">
        <v>11</v>
      </c>
      <c r="G502" s="3">
        <v>36197.699999999997</v>
      </c>
      <c r="H502" t="str" cm="1">
        <f t="array" ref="H502">_xlfn.IFS(A502&lt;13, "Child", A502&lt;20, "Teenager", A502&lt;40, "Young Adult", A502&lt;60, "Senior Adult", A502&gt;=60, "Elderly")</f>
        <v>Young Adult</v>
      </c>
    </row>
    <row r="503" spans="1:8" x14ac:dyDescent="0.25">
      <c r="A503" s="1">
        <v>43</v>
      </c>
      <c r="B503" t="s">
        <v>8</v>
      </c>
      <c r="C503" s="2">
        <v>26</v>
      </c>
      <c r="D503" s="1">
        <v>0</v>
      </c>
      <c r="E503" t="s">
        <v>10</v>
      </c>
      <c r="F503" t="s">
        <v>14</v>
      </c>
      <c r="G503" s="3">
        <v>6837.37</v>
      </c>
      <c r="H503" t="str" cm="1">
        <f t="array" ref="H503">_xlfn.IFS(A503&lt;13, "Child", A503&lt;20, "Teenager", A503&lt;40, "Young Adult", A503&lt;60, "Senior Adult", A503&gt;=60, "Elderly")</f>
        <v>Senior Adult</v>
      </c>
    </row>
    <row r="504" spans="1:8" x14ac:dyDescent="0.25">
      <c r="A504" s="1">
        <v>51</v>
      </c>
      <c r="B504" t="s">
        <v>8</v>
      </c>
      <c r="C504" s="2">
        <v>23.2</v>
      </c>
      <c r="D504" s="1">
        <v>1</v>
      </c>
      <c r="E504" t="s">
        <v>9</v>
      </c>
      <c r="F504" t="s">
        <v>12</v>
      </c>
      <c r="G504" s="3">
        <v>22218.11</v>
      </c>
      <c r="H504" t="str" cm="1">
        <f t="array" ref="H504">_xlfn.IFS(A504&lt;13, "Child", A504&lt;20, "Teenager", A504&lt;40, "Young Adult", A504&lt;60, "Senior Adult", A504&gt;=60, "Elderly")</f>
        <v>Senior Adult</v>
      </c>
    </row>
    <row r="505" spans="1:8" x14ac:dyDescent="0.25">
      <c r="A505" s="1">
        <v>19</v>
      </c>
      <c r="B505" t="s">
        <v>8</v>
      </c>
      <c r="C505" s="2">
        <v>30.3</v>
      </c>
      <c r="D505" s="1">
        <v>0</v>
      </c>
      <c r="E505" t="s">
        <v>9</v>
      </c>
      <c r="F505" t="s">
        <v>12</v>
      </c>
      <c r="G505" s="3">
        <v>32548.34</v>
      </c>
      <c r="H505" t="str" cm="1">
        <f t="array" ref="H505">_xlfn.IFS(A505&lt;13, "Child", A505&lt;20, "Teenager", A505&lt;40, "Young Adult", A505&lt;60, "Senior Adult", A505&gt;=60, "Elderly")</f>
        <v>Teenager</v>
      </c>
    </row>
    <row r="506" spans="1:8" x14ac:dyDescent="0.25">
      <c r="A506" s="1">
        <v>38</v>
      </c>
      <c r="B506" t="s">
        <v>7</v>
      </c>
      <c r="C506" s="2">
        <v>28.9</v>
      </c>
      <c r="D506" s="1">
        <v>1</v>
      </c>
      <c r="E506" t="s">
        <v>10</v>
      </c>
      <c r="F506" t="s">
        <v>12</v>
      </c>
      <c r="G506" s="3">
        <v>5974.38</v>
      </c>
      <c r="H506" t="str" cm="1">
        <f t="array" ref="H506">_xlfn.IFS(A506&lt;13, "Child", A506&lt;20, "Teenager", A506&lt;40, "Young Adult", A506&lt;60, "Senior Adult", A506&gt;=60, "Elderly")</f>
        <v>Young Adult</v>
      </c>
    </row>
    <row r="507" spans="1:8" x14ac:dyDescent="0.25">
      <c r="A507" s="1">
        <v>37</v>
      </c>
      <c r="B507" t="s">
        <v>8</v>
      </c>
      <c r="C507" s="2">
        <v>30.9</v>
      </c>
      <c r="D507" s="1">
        <v>3</v>
      </c>
      <c r="E507" t="s">
        <v>10</v>
      </c>
      <c r="F507" t="s">
        <v>13</v>
      </c>
      <c r="G507" s="3">
        <v>6796.86</v>
      </c>
      <c r="H507" t="str" cm="1">
        <f t="array" ref="H507">_xlfn.IFS(A507&lt;13, "Child", A507&lt;20, "Teenager", A507&lt;40, "Young Adult", A507&lt;60, "Senior Adult", A507&gt;=60, "Elderly")</f>
        <v>Young Adult</v>
      </c>
    </row>
    <row r="508" spans="1:8" x14ac:dyDescent="0.25">
      <c r="A508" s="1">
        <v>22</v>
      </c>
      <c r="B508" t="s">
        <v>8</v>
      </c>
      <c r="C508" s="2">
        <v>31.4</v>
      </c>
      <c r="D508" s="1">
        <v>1</v>
      </c>
      <c r="E508" t="s">
        <v>10</v>
      </c>
      <c r="F508" t="s">
        <v>13</v>
      </c>
      <c r="G508" s="3">
        <v>2643.27</v>
      </c>
      <c r="H508" t="str" cm="1">
        <f t="array" ref="H508">_xlfn.IFS(A508&lt;13, "Child", A508&lt;20, "Teenager", A508&lt;40, "Young Adult", A508&lt;60, "Senior Adult", A508&gt;=60, "Elderly")</f>
        <v>Young Adult</v>
      </c>
    </row>
    <row r="509" spans="1:8" x14ac:dyDescent="0.25">
      <c r="A509" s="1">
        <v>21</v>
      </c>
      <c r="B509" t="s">
        <v>8</v>
      </c>
      <c r="C509" s="2">
        <v>23.8</v>
      </c>
      <c r="D509" s="1">
        <v>2</v>
      </c>
      <c r="E509" t="s">
        <v>10</v>
      </c>
      <c r="F509" t="s">
        <v>13</v>
      </c>
      <c r="G509" s="3">
        <v>3077.1</v>
      </c>
      <c r="H509" t="str" cm="1">
        <f t="array" ref="H509">_xlfn.IFS(A509&lt;13, "Child", A509&lt;20, "Teenager", A509&lt;40, "Young Adult", A509&lt;60, "Senior Adult", A509&gt;=60, "Elderly")</f>
        <v>Young Adult</v>
      </c>
    </row>
    <row r="510" spans="1:8" x14ac:dyDescent="0.25">
      <c r="A510" s="1">
        <v>24</v>
      </c>
      <c r="B510" t="s">
        <v>7</v>
      </c>
      <c r="C510" s="2">
        <v>25.3</v>
      </c>
      <c r="D510" s="1">
        <v>0</v>
      </c>
      <c r="E510" t="s">
        <v>10</v>
      </c>
      <c r="F510" t="s">
        <v>14</v>
      </c>
      <c r="G510" s="3">
        <v>3044.21</v>
      </c>
      <c r="H510" t="str" cm="1">
        <f t="array" ref="H510">_xlfn.IFS(A510&lt;13, "Child", A510&lt;20, "Teenager", A510&lt;40, "Young Adult", A510&lt;60, "Senior Adult", A510&gt;=60, "Elderly")</f>
        <v>Young Adult</v>
      </c>
    </row>
    <row r="511" spans="1:8" x14ac:dyDescent="0.25">
      <c r="A511" s="1">
        <v>57</v>
      </c>
      <c r="B511" t="s">
        <v>7</v>
      </c>
      <c r="C511" s="2">
        <v>28.7</v>
      </c>
      <c r="D511" s="1">
        <v>0</v>
      </c>
      <c r="E511" t="s">
        <v>10</v>
      </c>
      <c r="F511" t="s">
        <v>11</v>
      </c>
      <c r="G511" s="3">
        <v>11455.28</v>
      </c>
      <c r="H511" t="str" cm="1">
        <f t="array" ref="H511">_xlfn.IFS(A511&lt;13, "Child", A511&lt;20, "Teenager", A511&lt;40, "Young Adult", A511&lt;60, "Senior Adult", A511&gt;=60, "Elderly")</f>
        <v>Senior Adult</v>
      </c>
    </row>
    <row r="512" spans="1:8" x14ac:dyDescent="0.25">
      <c r="A512" s="1">
        <v>56</v>
      </c>
      <c r="B512" t="s">
        <v>8</v>
      </c>
      <c r="C512" s="2">
        <v>32.1</v>
      </c>
      <c r="D512" s="1">
        <v>1</v>
      </c>
      <c r="E512" t="s">
        <v>10</v>
      </c>
      <c r="F512" t="s">
        <v>14</v>
      </c>
      <c r="G512" s="3">
        <v>11763</v>
      </c>
      <c r="H512" t="str" cm="1">
        <f t="array" ref="H512">_xlfn.IFS(A512&lt;13, "Child", A512&lt;20, "Teenager", A512&lt;40, "Young Adult", A512&lt;60, "Senior Adult", A512&gt;=60, "Elderly")</f>
        <v>Senior Adult</v>
      </c>
    </row>
    <row r="513" spans="1:8" x14ac:dyDescent="0.25">
      <c r="A513" s="1">
        <v>27</v>
      </c>
      <c r="B513" t="s">
        <v>8</v>
      </c>
      <c r="C513" s="2">
        <v>33.700000000000003</v>
      </c>
      <c r="D513" s="1">
        <v>0</v>
      </c>
      <c r="E513" t="s">
        <v>10</v>
      </c>
      <c r="F513" t="s">
        <v>12</v>
      </c>
      <c r="G513" s="3">
        <v>2498.41</v>
      </c>
      <c r="H513" t="str" cm="1">
        <f t="array" ref="H513">_xlfn.IFS(A513&lt;13, "Child", A513&lt;20, "Teenager", A513&lt;40, "Young Adult", A513&lt;60, "Senior Adult", A513&gt;=60, "Elderly")</f>
        <v>Young Adult</v>
      </c>
    </row>
    <row r="514" spans="1:8" x14ac:dyDescent="0.25">
      <c r="A514" s="1">
        <v>51</v>
      </c>
      <c r="B514" t="s">
        <v>8</v>
      </c>
      <c r="C514" s="2">
        <v>22.4</v>
      </c>
      <c r="D514" s="1">
        <v>0</v>
      </c>
      <c r="E514" t="s">
        <v>10</v>
      </c>
      <c r="F514" t="s">
        <v>14</v>
      </c>
      <c r="G514" s="3">
        <v>9361.33</v>
      </c>
      <c r="H514" t="str" cm="1">
        <f t="array" ref="H514">_xlfn.IFS(A514&lt;13, "Child", A514&lt;20, "Teenager", A514&lt;40, "Young Adult", A514&lt;60, "Senior Adult", A514&gt;=60, "Elderly")</f>
        <v>Senior Adult</v>
      </c>
    </row>
    <row r="515" spans="1:8" x14ac:dyDescent="0.25">
      <c r="A515" s="1">
        <v>19</v>
      </c>
      <c r="B515" t="s">
        <v>8</v>
      </c>
      <c r="C515" s="2">
        <v>30.4</v>
      </c>
      <c r="D515" s="1">
        <v>0</v>
      </c>
      <c r="E515" t="s">
        <v>10</v>
      </c>
      <c r="F515" t="s">
        <v>11</v>
      </c>
      <c r="G515" s="3">
        <v>1256.3</v>
      </c>
      <c r="H515" t="str" cm="1">
        <f t="array" ref="H515">_xlfn.IFS(A515&lt;13, "Child", A515&lt;20, "Teenager", A515&lt;40, "Young Adult", A515&lt;60, "Senior Adult", A515&gt;=60, "Elderly")</f>
        <v>Teenager</v>
      </c>
    </row>
    <row r="516" spans="1:8" x14ac:dyDescent="0.25">
      <c r="A516" s="1">
        <v>39</v>
      </c>
      <c r="B516" t="s">
        <v>8</v>
      </c>
      <c r="C516" s="2">
        <v>28.3</v>
      </c>
      <c r="D516" s="1">
        <v>1</v>
      </c>
      <c r="E516" t="s">
        <v>9</v>
      </c>
      <c r="F516" t="s">
        <v>11</v>
      </c>
      <c r="G516" s="3">
        <v>21082.16</v>
      </c>
      <c r="H516" t="str" cm="1">
        <f t="array" ref="H516">_xlfn.IFS(A516&lt;13, "Child", A516&lt;20, "Teenager", A516&lt;40, "Young Adult", A516&lt;60, "Senior Adult", A516&gt;=60, "Elderly")</f>
        <v>Young Adult</v>
      </c>
    </row>
    <row r="517" spans="1:8" x14ac:dyDescent="0.25">
      <c r="A517" s="1">
        <v>58</v>
      </c>
      <c r="B517" t="s">
        <v>8</v>
      </c>
      <c r="C517" s="2">
        <v>35.700000000000003</v>
      </c>
      <c r="D517" s="1">
        <v>0</v>
      </c>
      <c r="E517" t="s">
        <v>10</v>
      </c>
      <c r="F517" t="s">
        <v>11</v>
      </c>
      <c r="G517" s="3">
        <v>11362.76</v>
      </c>
      <c r="H517" t="str" cm="1">
        <f t="array" ref="H517">_xlfn.IFS(A517&lt;13, "Child", A517&lt;20, "Teenager", A517&lt;40, "Young Adult", A517&lt;60, "Senior Adult", A517&gt;=60, "Elderly")</f>
        <v>Senior Adult</v>
      </c>
    </row>
    <row r="518" spans="1:8" x14ac:dyDescent="0.25">
      <c r="A518" s="1">
        <v>20</v>
      </c>
      <c r="B518" t="s">
        <v>8</v>
      </c>
      <c r="C518" s="2">
        <v>35.299999999999997</v>
      </c>
      <c r="D518" s="1">
        <v>1</v>
      </c>
      <c r="E518" t="s">
        <v>10</v>
      </c>
      <c r="F518" t="s">
        <v>12</v>
      </c>
      <c r="G518" s="3">
        <v>27724.29</v>
      </c>
      <c r="H518" t="str" cm="1">
        <f t="array" ref="H518">_xlfn.IFS(A518&lt;13, "Child", A518&lt;20, "Teenager", A518&lt;40, "Young Adult", A518&lt;60, "Senior Adult", A518&gt;=60, "Elderly")</f>
        <v>Young Adult</v>
      </c>
    </row>
    <row r="519" spans="1:8" x14ac:dyDescent="0.25">
      <c r="A519" s="1">
        <v>45</v>
      </c>
      <c r="B519" t="s">
        <v>8</v>
      </c>
      <c r="C519" s="2">
        <v>30.5</v>
      </c>
      <c r="D519" s="1">
        <v>2</v>
      </c>
      <c r="E519" t="s">
        <v>10</v>
      </c>
      <c r="F519" t="s">
        <v>13</v>
      </c>
      <c r="G519" s="3">
        <v>8413.4599999999991</v>
      </c>
      <c r="H519" t="str" cm="1">
        <f t="array" ref="H519">_xlfn.IFS(A519&lt;13, "Child", A519&lt;20, "Teenager", A519&lt;40, "Young Adult", A519&lt;60, "Senior Adult", A519&gt;=60, "Elderly")</f>
        <v>Senior Adult</v>
      </c>
    </row>
    <row r="520" spans="1:8" x14ac:dyDescent="0.25">
      <c r="A520" s="1">
        <v>35</v>
      </c>
      <c r="B520" t="s">
        <v>7</v>
      </c>
      <c r="C520" s="2">
        <v>31</v>
      </c>
      <c r="D520" s="1">
        <v>1</v>
      </c>
      <c r="E520" t="s">
        <v>10</v>
      </c>
      <c r="F520" t="s">
        <v>11</v>
      </c>
      <c r="G520" s="3">
        <v>5240.7700000000004</v>
      </c>
      <c r="H520" t="str" cm="1">
        <f t="array" ref="H520">_xlfn.IFS(A520&lt;13, "Child", A520&lt;20, "Teenager", A520&lt;40, "Young Adult", A520&lt;60, "Senior Adult", A520&gt;=60, "Elderly")</f>
        <v>Young Adult</v>
      </c>
    </row>
    <row r="521" spans="1:8" x14ac:dyDescent="0.25">
      <c r="A521" s="1">
        <v>31</v>
      </c>
      <c r="B521" t="s">
        <v>8</v>
      </c>
      <c r="C521" s="2">
        <v>30.9</v>
      </c>
      <c r="D521" s="1">
        <v>0</v>
      </c>
      <c r="E521" t="s">
        <v>10</v>
      </c>
      <c r="F521" t="s">
        <v>14</v>
      </c>
      <c r="G521" s="3">
        <v>3857.76</v>
      </c>
      <c r="H521" t="str" cm="1">
        <f t="array" ref="H521">_xlfn.IFS(A521&lt;13, "Child", A521&lt;20, "Teenager", A521&lt;40, "Young Adult", A521&lt;60, "Senior Adult", A521&gt;=60, "Elderly")</f>
        <v>Young Adult</v>
      </c>
    </row>
    <row r="522" spans="1:8" x14ac:dyDescent="0.25">
      <c r="A522" s="1">
        <v>50</v>
      </c>
      <c r="B522" t="s">
        <v>7</v>
      </c>
      <c r="C522" s="2">
        <v>27.4</v>
      </c>
      <c r="D522" s="1">
        <v>0</v>
      </c>
      <c r="E522" t="s">
        <v>10</v>
      </c>
      <c r="F522" t="s">
        <v>14</v>
      </c>
      <c r="G522" s="3">
        <v>25656.58</v>
      </c>
      <c r="H522" t="str" cm="1">
        <f t="array" ref="H522">_xlfn.IFS(A522&lt;13, "Child", A522&lt;20, "Teenager", A522&lt;40, "Young Adult", A522&lt;60, "Senior Adult", A522&gt;=60, "Elderly")</f>
        <v>Senior Adult</v>
      </c>
    </row>
    <row r="523" spans="1:8" x14ac:dyDescent="0.25">
      <c r="A523" s="1">
        <v>32</v>
      </c>
      <c r="B523" t="s">
        <v>7</v>
      </c>
      <c r="C523" s="2">
        <v>44.2</v>
      </c>
      <c r="D523" s="1">
        <v>0</v>
      </c>
      <c r="E523" t="s">
        <v>10</v>
      </c>
      <c r="F523" t="s">
        <v>12</v>
      </c>
      <c r="G523" s="3">
        <v>3994.18</v>
      </c>
      <c r="H523" t="str" cm="1">
        <f t="array" ref="H523">_xlfn.IFS(A523&lt;13, "Child", A523&lt;20, "Teenager", A523&lt;40, "Young Adult", A523&lt;60, "Senior Adult", A523&gt;=60, "Elderly")</f>
        <v>Young Adult</v>
      </c>
    </row>
    <row r="524" spans="1:8" x14ac:dyDescent="0.25">
      <c r="A524" s="1">
        <v>51</v>
      </c>
      <c r="B524" t="s">
        <v>7</v>
      </c>
      <c r="C524" s="2">
        <v>33.9</v>
      </c>
      <c r="D524" s="1">
        <v>0</v>
      </c>
      <c r="E524" t="s">
        <v>10</v>
      </c>
      <c r="F524" t="s">
        <v>14</v>
      </c>
      <c r="G524" s="3">
        <v>9866.2999999999993</v>
      </c>
      <c r="H524" t="str" cm="1">
        <f t="array" ref="H524">_xlfn.IFS(A524&lt;13, "Child", A524&lt;20, "Teenager", A524&lt;40, "Young Adult", A524&lt;60, "Senior Adult", A524&gt;=60, "Elderly")</f>
        <v>Senior Adult</v>
      </c>
    </row>
    <row r="525" spans="1:8" x14ac:dyDescent="0.25">
      <c r="A525" s="1">
        <v>38</v>
      </c>
      <c r="B525" t="s">
        <v>7</v>
      </c>
      <c r="C525" s="2">
        <v>37.700000000000003</v>
      </c>
      <c r="D525" s="1">
        <v>0</v>
      </c>
      <c r="E525" t="s">
        <v>10</v>
      </c>
      <c r="F525" t="s">
        <v>12</v>
      </c>
      <c r="G525" s="3">
        <v>5397.62</v>
      </c>
      <c r="H525" t="str" cm="1">
        <f t="array" ref="H525">_xlfn.IFS(A525&lt;13, "Child", A525&lt;20, "Teenager", A525&lt;40, "Young Adult", A525&lt;60, "Senior Adult", A525&gt;=60, "Elderly")</f>
        <v>Young Adult</v>
      </c>
    </row>
    <row r="526" spans="1:8" x14ac:dyDescent="0.25">
      <c r="A526" s="1">
        <v>42</v>
      </c>
      <c r="B526" t="s">
        <v>8</v>
      </c>
      <c r="C526" s="2">
        <v>26.1</v>
      </c>
      <c r="D526" s="1">
        <v>1</v>
      </c>
      <c r="E526" t="s">
        <v>9</v>
      </c>
      <c r="F526" t="s">
        <v>12</v>
      </c>
      <c r="G526" s="3">
        <v>38245.589999999997</v>
      </c>
      <c r="H526" t="str" cm="1">
        <f t="array" ref="H526">_xlfn.IFS(A526&lt;13, "Child", A526&lt;20, "Teenager", A526&lt;40, "Young Adult", A526&lt;60, "Senior Adult", A526&gt;=60, "Elderly")</f>
        <v>Senior Adult</v>
      </c>
    </row>
    <row r="527" spans="1:8" x14ac:dyDescent="0.25">
      <c r="A527" s="1">
        <v>18</v>
      </c>
      <c r="B527" t="s">
        <v>7</v>
      </c>
      <c r="C527" s="2">
        <v>33.9</v>
      </c>
      <c r="D527" s="1">
        <v>0</v>
      </c>
      <c r="E527" t="s">
        <v>10</v>
      </c>
      <c r="F527" t="s">
        <v>12</v>
      </c>
      <c r="G527" s="3">
        <v>11482.63</v>
      </c>
      <c r="H527" t="str" cm="1">
        <f t="array" ref="H527">_xlfn.IFS(A527&lt;13, "Child", A527&lt;20, "Teenager", A527&lt;40, "Young Adult", A527&lt;60, "Senior Adult", A527&gt;=60, "Elderly")</f>
        <v>Teenager</v>
      </c>
    </row>
    <row r="528" spans="1:8" x14ac:dyDescent="0.25">
      <c r="A528" s="1">
        <v>19</v>
      </c>
      <c r="B528" t="s">
        <v>7</v>
      </c>
      <c r="C528" s="2">
        <v>30.6</v>
      </c>
      <c r="D528" s="1">
        <v>2</v>
      </c>
      <c r="E528" t="s">
        <v>10</v>
      </c>
      <c r="F528" t="s">
        <v>13</v>
      </c>
      <c r="G528" s="3">
        <v>24059.68</v>
      </c>
      <c r="H528" t="str" cm="1">
        <f t="array" ref="H528">_xlfn.IFS(A528&lt;13, "Child", A528&lt;20, "Teenager", A528&lt;40, "Young Adult", A528&lt;60, "Senior Adult", A528&gt;=60, "Elderly")</f>
        <v>Teenager</v>
      </c>
    </row>
    <row r="529" spans="1:8" x14ac:dyDescent="0.25">
      <c r="A529" s="1">
        <v>51</v>
      </c>
      <c r="B529" t="s">
        <v>7</v>
      </c>
      <c r="C529" s="2">
        <v>25.8</v>
      </c>
      <c r="D529" s="1">
        <v>1</v>
      </c>
      <c r="E529" t="s">
        <v>10</v>
      </c>
      <c r="F529" t="s">
        <v>11</v>
      </c>
      <c r="G529" s="3">
        <v>9861.0300000000007</v>
      </c>
      <c r="H529" t="str" cm="1">
        <f t="array" ref="H529">_xlfn.IFS(A529&lt;13, "Child", A529&lt;20, "Teenager", A529&lt;40, "Young Adult", A529&lt;60, "Senior Adult", A529&gt;=60, "Elderly")</f>
        <v>Senior Adult</v>
      </c>
    </row>
    <row r="530" spans="1:8" x14ac:dyDescent="0.25">
      <c r="A530" s="1">
        <v>46</v>
      </c>
      <c r="B530" t="s">
        <v>8</v>
      </c>
      <c r="C530" s="2">
        <v>39.4</v>
      </c>
      <c r="D530" s="1">
        <v>1</v>
      </c>
      <c r="E530" t="s">
        <v>10</v>
      </c>
      <c r="F530" t="s">
        <v>14</v>
      </c>
      <c r="G530" s="3">
        <v>8342.91</v>
      </c>
      <c r="H530" t="str" cm="1">
        <f t="array" ref="H530">_xlfn.IFS(A530&lt;13, "Child", A530&lt;20, "Teenager", A530&lt;40, "Young Adult", A530&lt;60, "Senior Adult", A530&gt;=60, "Elderly")</f>
        <v>Senior Adult</v>
      </c>
    </row>
    <row r="531" spans="1:8" x14ac:dyDescent="0.25">
      <c r="A531" s="1">
        <v>18</v>
      </c>
      <c r="B531" t="s">
        <v>8</v>
      </c>
      <c r="C531" s="2">
        <v>25.5</v>
      </c>
      <c r="D531" s="1">
        <v>0</v>
      </c>
      <c r="E531" t="s">
        <v>10</v>
      </c>
      <c r="F531" t="s">
        <v>14</v>
      </c>
      <c r="G531" s="3">
        <v>1708</v>
      </c>
      <c r="H531" t="str" cm="1">
        <f t="array" ref="H531">_xlfn.IFS(A531&lt;13, "Child", A531&lt;20, "Teenager", A531&lt;40, "Young Adult", A531&lt;60, "Senior Adult", A531&gt;=60, "Elderly")</f>
        <v>Teenager</v>
      </c>
    </row>
    <row r="532" spans="1:8" x14ac:dyDescent="0.25">
      <c r="A532" s="1">
        <v>57</v>
      </c>
      <c r="B532" t="s">
        <v>8</v>
      </c>
      <c r="C532" s="2">
        <v>42.1</v>
      </c>
      <c r="D532" s="1">
        <v>1</v>
      </c>
      <c r="E532" t="s">
        <v>9</v>
      </c>
      <c r="F532" t="s">
        <v>12</v>
      </c>
      <c r="G532" s="3">
        <v>48675.519999999997</v>
      </c>
      <c r="H532" t="str" cm="1">
        <f t="array" ref="H532">_xlfn.IFS(A532&lt;13, "Child", A532&lt;20, "Teenager", A532&lt;40, "Young Adult", A532&lt;60, "Senior Adult", A532&gt;=60, "Elderly")</f>
        <v>Senior Adult</v>
      </c>
    </row>
    <row r="533" spans="1:8" x14ac:dyDescent="0.25">
      <c r="A533" s="1">
        <v>62</v>
      </c>
      <c r="B533" t="s">
        <v>7</v>
      </c>
      <c r="C533" s="2">
        <v>31.7</v>
      </c>
      <c r="D533" s="1">
        <v>0</v>
      </c>
      <c r="E533" t="s">
        <v>10</v>
      </c>
      <c r="F533" t="s">
        <v>14</v>
      </c>
      <c r="G533" s="3">
        <v>14043.48</v>
      </c>
      <c r="H533" t="str" cm="1">
        <f t="array" ref="H533">_xlfn.IFS(A533&lt;13, "Child", A533&lt;20, "Teenager", A533&lt;40, "Young Adult", A533&lt;60, "Senior Adult", A533&gt;=60, "Elderly")</f>
        <v>Elderly</v>
      </c>
    </row>
    <row r="534" spans="1:8" x14ac:dyDescent="0.25">
      <c r="A534" s="1">
        <v>59</v>
      </c>
      <c r="B534" t="s">
        <v>8</v>
      </c>
      <c r="C534" s="2">
        <v>29.7</v>
      </c>
      <c r="D534" s="1">
        <v>2</v>
      </c>
      <c r="E534" t="s">
        <v>10</v>
      </c>
      <c r="F534" t="s">
        <v>12</v>
      </c>
      <c r="G534" s="3">
        <v>12925.89</v>
      </c>
      <c r="H534" t="str" cm="1">
        <f t="array" ref="H534">_xlfn.IFS(A534&lt;13, "Child", A534&lt;20, "Teenager", A534&lt;40, "Young Adult", A534&lt;60, "Senior Adult", A534&gt;=60, "Elderly")</f>
        <v>Senior Adult</v>
      </c>
    </row>
    <row r="535" spans="1:8" x14ac:dyDescent="0.25">
      <c r="A535" s="1">
        <v>37</v>
      </c>
      <c r="B535" t="s">
        <v>8</v>
      </c>
      <c r="C535" s="2">
        <v>36.200000000000003</v>
      </c>
      <c r="D535" s="1">
        <v>0</v>
      </c>
      <c r="E535" t="s">
        <v>10</v>
      </c>
      <c r="F535" t="s">
        <v>12</v>
      </c>
      <c r="G535" s="3">
        <v>19214.71</v>
      </c>
      <c r="H535" t="str" cm="1">
        <f t="array" ref="H535">_xlfn.IFS(A535&lt;13, "Child", A535&lt;20, "Teenager", A535&lt;40, "Young Adult", A535&lt;60, "Senior Adult", A535&gt;=60, "Elderly")</f>
        <v>Young Adult</v>
      </c>
    </row>
    <row r="536" spans="1:8" x14ac:dyDescent="0.25">
      <c r="A536" s="1">
        <v>64</v>
      </c>
      <c r="B536" t="s">
        <v>8</v>
      </c>
      <c r="C536" s="2">
        <v>40.5</v>
      </c>
      <c r="D536" s="1">
        <v>0</v>
      </c>
      <c r="E536" t="s">
        <v>10</v>
      </c>
      <c r="F536" t="s">
        <v>12</v>
      </c>
      <c r="G536" s="3">
        <v>13831.12</v>
      </c>
      <c r="H536" t="str" cm="1">
        <f t="array" ref="H536">_xlfn.IFS(A536&lt;13, "Child", A536&lt;20, "Teenager", A536&lt;40, "Young Adult", A536&lt;60, "Senior Adult", A536&gt;=60, "Elderly")</f>
        <v>Elderly</v>
      </c>
    </row>
    <row r="537" spans="1:8" x14ac:dyDescent="0.25">
      <c r="A537" s="1">
        <v>38</v>
      </c>
      <c r="B537" t="s">
        <v>8</v>
      </c>
      <c r="C537" s="2">
        <v>28</v>
      </c>
      <c r="D537" s="1">
        <v>1</v>
      </c>
      <c r="E537" t="s">
        <v>10</v>
      </c>
      <c r="F537" t="s">
        <v>14</v>
      </c>
      <c r="G537" s="3">
        <v>6067.13</v>
      </c>
      <c r="H537" t="str" cm="1">
        <f t="array" ref="H537">_xlfn.IFS(A537&lt;13, "Child", A537&lt;20, "Teenager", A537&lt;40, "Young Adult", A537&lt;60, "Senior Adult", A537&gt;=60, "Elderly")</f>
        <v>Young Adult</v>
      </c>
    </row>
    <row r="538" spans="1:8" x14ac:dyDescent="0.25">
      <c r="A538" s="1">
        <v>33</v>
      </c>
      <c r="B538" t="s">
        <v>7</v>
      </c>
      <c r="C538" s="2">
        <v>38.9</v>
      </c>
      <c r="D538" s="1">
        <v>3</v>
      </c>
      <c r="E538" t="s">
        <v>10</v>
      </c>
      <c r="F538" t="s">
        <v>11</v>
      </c>
      <c r="G538" s="3">
        <v>5972.38</v>
      </c>
      <c r="H538" t="str" cm="1">
        <f t="array" ref="H538">_xlfn.IFS(A538&lt;13, "Child", A538&lt;20, "Teenager", A538&lt;40, "Young Adult", A538&lt;60, "Senior Adult", A538&gt;=60, "Elderly")</f>
        <v>Young Adult</v>
      </c>
    </row>
    <row r="539" spans="1:8" x14ac:dyDescent="0.25">
      <c r="A539" s="1">
        <v>46</v>
      </c>
      <c r="B539" t="s">
        <v>7</v>
      </c>
      <c r="C539" s="2">
        <v>30.2</v>
      </c>
      <c r="D539" s="1">
        <v>2</v>
      </c>
      <c r="E539" t="s">
        <v>10</v>
      </c>
      <c r="F539" t="s">
        <v>11</v>
      </c>
      <c r="G539" s="3">
        <v>8825.09</v>
      </c>
      <c r="H539" t="str" cm="1">
        <f t="array" ref="H539">_xlfn.IFS(A539&lt;13, "Child", A539&lt;20, "Teenager", A539&lt;40, "Young Adult", A539&lt;60, "Senior Adult", A539&gt;=60, "Elderly")</f>
        <v>Senior Adult</v>
      </c>
    </row>
    <row r="540" spans="1:8" x14ac:dyDescent="0.25">
      <c r="A540" s="1">
        <v>46</v>
      </c>
      <c r="B540" t="s">
        <v>7</v>
      </c>
      <c r="C540" s="2">
        <v>28.1</v>
      </c>
      <c r="D540" s="1">
        <v>1</v>
      </c>
      <c r="E540" t="s">
        <v>10</v>
      </c>
      <c r="F540" t="s">
        <v>12</v>
      </c>
      <c r="G540" s="3">
        <v>8233.1</v>
      </c>
      <c r="H540" t="str" cm="1">
        <f t="array" ref="H540">_xlfn.IFS(A540&lt;13, "Child", A540&lt;20, "Teenager", A540&lt;40, "Young Adult", A540&lt;60, "Senior Adult", A540&gt;=60, "Elderly")</f>
        <v>Senior Adult</v>
      </c>
    </row>
    <row r="541" spans="1:8" x14ac:dyDescent="0.25">
      <c r="A541" s="1">
        <v>53</v>
      </c>
      <c r="B541" t="s">
        <v>8</v>
      </c>
      <c r="C541" s="2">
        <v>31.4</v>
      </c>
      <c r="D541" s="1">
        <v>0</v>
      </c>
      <c r="E541" t="s">
        <v>10</v>
      </c>
      <c r="F541" t="s">
        <v>12</v>
      </c>
      <c r="G541" s="3">
        <v>27346.04</v>
      </c>
      <c r="H541" t="str" cm="1">
        <f t="array" ref="H541">_xlfn.IFS(A541&lt;13, "Child", A541&lt;20, "Teenager", A541&lt;40, "Young Adult", A541&lt;60, "Senior Adult", A541&gt;=60, "Elderly")</f>
        <v>Senior Adult</v>
      </c>
    </row>
    <row r="542" spans="1:8" x14ac:dyDescent="0.25">
      <c r="A542" s="1">
        <v>34</v>
      </c>
      <c r="B542" t="s">
        <v>7</v>
      </c>
      <c r="C542" s="2">
        <v>38</v>
      </c>
      <c r="D542" s="1">
        <v>3</v>
      </c>
      <c r="E542" t="s">
        <v>10</v>
      </c>
      <c r="F542" t="s">
        <v>11</v>
      </c>
      <c r="G542" s="3">
        <v>6196.45</v>
      </c>
      <c r="H542" t="str" cm="1">
        <f t="array" ref="H542">_xlfn.IFS(A542&lt;13, "Child", A542&lt;20, "Teenager", A542&lt;40, "Young Adult", A542&lt;60, "Senior Adult", A542&gt;=60, "Elderly")</f>
        <v>Young Adult</v>
      </c>
    </row>
    <row r="543" spans="1:8" x14ac:dyDescent="0.25">
      <c r="A543" s="1">
        <v>20</v>
      </c>
      <c r="B543" t="s">
        <v>7</v>
      </c>
      <c r="C543" s="2">
        <v>31.8</v>
      </c>
      <c r="D543" s="1">
        <v>2</v>
      </c>
      <c r="E543" t="s">
        <v>10</v>
      </c>
      <c r="F543" t="s">
        <v>12</v>
      </c>
      <c r="G543" s="3">
        <v>3056.39</v>
      </c>
      <c r="H543" t="str" cm="1">
        <f t="array" ref="H543">_xlfn.IFS(A543&lt;13, "Child", A543&lt;20, "Teenager", A543&lt;40, "Young Adult", A543&lt;60, "Senior Adult", A543&gt;=60, "Elderly")</f>
        <v>Young Adult</v>
      </c>
    </row>
    <row r="544" spans="1:8" x14ac:dyDescent="0.25">
      <c r="A544" s="1">
        <v>63</v>
      </c>
      <c r="B544" t="s">
        <v>7</v>
      </c>
      <c r="C544" s="2">
        <v>36.299999999999997</v>
      </c>
      <c r="D544" s="1">
        <v>0</v>
      </c>
      <c r="E544" t="s">
        <v>10</v>
      </c>
      <c r="F544" t="s">
        <v>12</v>
      </c>
      <c r="G544" s="3">
        <v>13887.2</v>
      </c>
      <c r="H544" t="str" cm="1">
        <f t="array" ref="H544">_xlfn.IFS(A544&lt;13, "Child", A544&lt;20, "Teenager", A544&lt;40, "Young Adult", A544&lt;60, "Senior Adult", A544&gt;=60, "Elderly")</f>
        <v>Elderly</v>
      </c>
    </row>
    <row r="545" spans="1:8" x14ac:dyDescent="0.25">
      <c r="A545" s="1">
        <v>54</v>
      </c>
      <c r="B545" t="s">
        <v>7</v>
      </c>
      <c r="C545" s="2">
        <v>47.4</v>
      </c>
      <c r="D545" s="1">
        <v>0</v>
      </c>
      <c r="E545" t="s">
        <v>9</v>
      </c>
      <c r="F545" t="s">
        <v>12</v>
      </c>
      <c r="G545" s="3">
        <v>63770.43</v>
      </c>
      <c r="H545" t="str" cm="1">
        <f t="array" ref="H545">_xlfn.IFS(A545&lt;13, "Child", A545&lt;20, "Teenager", A545&lt;40, "Young Adult", A545&lt;60, "Senior Adult", A545&gt;=60, "Elderly")</f>
        <v>Senior Adult</v>
      </c>
    </row>
    <row r="546" spans="1:8" x14ac:dyDescent="0.25">
      <c r="A546" s="1">
        <v>54</v>
      </c>
      <c r="B546" t="s">
        <v>8</v>
      </c>
      <c r="C546" s="2">
        <v>30.2</v>
      </c>
      <c r="D546" s="1">
        <v>0</v>
      </c>
      <c r="E546" t="s">
        <v>10</v>
      </c>
      <c r="F546" t="s">
        <v>13</v>
      </c>
      <c r="G546" s="3">
        <v>10231.5</v>
      </c>
      <c r="H546" t="str" cm="1">
        <f t="array" ref="H546">_xlfn.IFS(A546&lt;13, "Child", A546&lt;20, "Teenager", A546&lt;40, "Young Adult", A546&lt;60, "Senior Adult", A546&gt;=60, "Elderly")</f>
        <v>Senior Adult</v>
      </c>
    </row>
    <row r="547" spans="1:8" x14ac:dyDescent="0.25">
      <c r="A547" s="1">
        <v>49</v>
      </c>
      <c r="B547" t="s">
        <v>8</v>
      </c>
      <c r="C547" s="2">
        <v>25.8</v>
      </c>
      <c r="D547" s="1">
        <v>2</v>
      </c>
      <c r="E547" t="s">
        <v>9</v>
      </c>
      <c r="F547" t="s">
        <v>13</v>
      </c>
      <c r="G547" s="3">
        <v>23807.24</v>
      </c>
      <c r="H547" t="str" cm="1">
        <f t="array" ref="H547">_xlfn.IFS(A547&lt;13, "Child", A547&lt;20, "Teenager", A547&lt;40, "Young Adult", A547&lt;60, "Senior Adult", A547&gt;=60, "Elderly")</f>
        <v>Senior Adult</v>
      </c>
    </row>
    <row r="548" spans="1:8" x14ac:dyDescent="0.25">
      <c r="A548" s="1">
        <v>28</v>
      </c>
      <c r="B548" t="s">
        <v>8</v>
      </c>
      <c r="C548" s="2">
        <v>35.4</v>
      </c>
      <c r="D548" s="1">
        <v>0</v>
      </c>
      <c r="E548" t="s">
        <v>10</v>
      </c>
      <c r="F548" t="s">
        <v>14</v>
      </c>
      <c r="G548" s="3">
        <v>3268.85</v>
      </c>
      <c r="H548" t="str" cm="1">
        <f t="array" ref="H548">_xlfn.IFS(A548&lt;13, "Child", A548&lt;20, "Teenager", A548&lt;40, "Young Adult", A548&lt;60, "Senior Adult", A548&gt;=60, "Elderly")</f>
        <v>Young Adult</v>
      </c>
    </row>
    <row r="549" spans="1:8" x14ac:dyDescent="0.25">
      <c r="A549" s="1">
        <v>54</v>
      </c>
      <c r="B549" t="s">
        <v>7</v>
      </c>
      <c r="C549" s="2">
        <v>46.7</v>
      </c>
      <c r="D549" s="1">
        <v>2</v>
      </c>
      <c r="E549" t="s">
        <v>10</v>
      </c>
      <c r="F549" t="s">
        <v>11</v>
      </c>
      <c r="G549" s="3">
        <v>11538.42</v>
      </c>
      <c r="H549" t="str" cm="1">
        <f t="array" ref="H549">_xlfn.IFS(A549&lt;13, "Child", A549&lt;20, "Teenager", A549&lt;40, "Young Adult", A549&lt;60, "Senior Adult", A549&gt;=60, "Elderly")</f>
        <v>Senior Adult</v>
      </c>
    </row>
    <row r="550" spans="1:8" x14ac:dyDescent="0.25">
      <c r="A550" s="1">
        <v>25</v>
      </c>
      <c r="B550" t="s">
        <v>7</v>
      </c>
      <c r="C550" s="2">
        <v>28.6</v>
      </c>
      <c r="D550" s="1">
        <v>0</v>
      </c>
      <c r="E550" t="s">
        <v>10</v>
      </c>
      <c r="F550" t="s">
        <v>14</v>
      </c>
      <c r="G550" s="3">
        <v>3213.62</v>
      </c>
      <c r="H550" t="str" cm="1">
        <f t="array" ref="H550">_xlfn.IFS(A550&lt;13, "Child", A550&lt;20, "Teenager", A550&lt;40, "Young Adult", A550&lt;60, "Senior Adult", A550&gt;=60, "Elderly")</f>
        <v>Young Adult</v>
      </c>
    </row>
    <row r="551" spans="1:8" x14ac:dyDescent="0.25">
      <c r="A551" s="1">
        <v>43</v>
      </c>
      <c r="B551" t="s">
        <v>7</v>
      </c>
      <c r="C551" s="2">
        <v>46.2</v>
      </c>
      <c r="D551" s="1">
        <v>0</v>
      </c>
      <c r="E551" t="s">
        <v>9</v>
      </c>
      <c r="F551" t="s">
        <v>12</v>
      </c>
      <c r="G551" s="3">
        <v>45863.21</v>
      </c>
      <c r="H551" t="str" cm="1">
        <f t="array" ref="H551">_xlfn.IFS(A551&lt;13, "Child", A551&lt;20, "Teenager", A551&lt;40, "Young Adult", A551&lt;60, "Senior Adult", A551&gt;=60, "Elderly")</f>
        <v>Senior Adult</v>
      </c>
    </row>
    <row r="552" spans="1:8" x14ac:dyDescent="0.25">
      <c r="A552" s="1">
        <v>63</v>
      </c>
      <c r="B552" t="s">
        <v>8</v>
      </c>
      <c r="C552" s="2">
        <v>30.8</v>
      </c>
      <c r="D552" s="1">
        <v>0</v>
      </c>
      <c r="E552" t="s">
        <v>10</v>
      </c>
      <c r="F552" t="s">
        <v>11</v>
      </c>
      <c r="G552" s="3">
        <v>13390.56</v>
      </c>
      <c r="H552" t="str" cm="1">
        <f t="array" ref="H552">_xlfn.IFS(A552&lt;13, "Child", A552&lt;20, "Teenager", A552&lt;40, "Young Adult", A552&lt;60, "Senior Adult", A552&gt;=60, "Elderly")</f>
        <v>Elderly</v>
      </c>
    </row>
    <row r="553" spans="1:8" x14ac:dyDescent="0.25">
      <c r="A553" s="1">
        <v>32</v>
      </c>
      <c r="B553" t="s">
        <v>7</v>
      </c>
      <c r="C553" s="2">
        <v>28.9</v>
      </c>
      <c r="D553" s="1">
        <v>0</v>
      </c>
      <c r="E553" t="s">
        <v>10</v>
      </c>
      <c r="F553" t="s">
        <v>12</v>
      </c>
      <c r="G553" s="3">
        <v>3972.92</v>
      </c>
      <c r="H553" t="str" cm="1">
        <f t="array" ref="H553">_xlfn.IFS(A553&lt;13, "Child", A553&lt;20, "Teenager", A553&lt;40, "Young Adult", A553&lt;60, "Senior Adult", A553&gt;=60, "Elderly")</f>
        <v>Young Adult</v>
      </c>
    </row>
    <row r="554" spans="1:8" x14ac:dyDescent="0.25">
      <c r="A554" s="1">
        <v>62</v>
      </c>
      <c r="B554" t="s">
        <v>8</v>
      </c>
      <c r="C554" s="2">
        <v>21.4</v>
      </c>
      <c r="D554" s="1">
        <v>0</v>
      </c>
      <c r="E554" t="s">
        <v>10</v>
      </c>
      <c r="F554" t="s">
        <v>11</v>
      </c>
      <c r="G554" s="3">
        <v>12957.12</v>
      </c>
      <c r="H554" t="str" cm="1">
        <f t="array" ref="H554">_xlfn.IFS(A554&lt;13, "Child", A554&lt;20, "Teenager", A554&lt;40, "Young Adult", A554&lt;60, "Senior Adult", A554&gt;=60, "Elderly")</f>
        <v>Elderly</v>
      </c>
    </row>
    <row r="555" spans="1:8" x14ac:dyDescent="0.25">
      <c r="A555" s="1">
        <v>52</v>
      </c>
      <c r="B555" t="s">
        <v>7</v>
      </c>
      <c r="C555" s="2">
        <v>31.7</v>
      </c>
      <c r="D555" s="1">
        <v>2</v>
      </c>
      <c r="E555" t="s">
        <v>10</v>
      </c>
      <c r="F555" t="s">
        <v>13</v>
      </c>
      <c r="G555" s="3">
        <v>11187.66</v>
      </c>
      <c r="H555" t="str" cm="1">
        <f t="array" ref="H555">_xlfn.IFS(A555&lt;13, "Child", A555&lt;20, "Teenager", A555&lt;40, "Young Adult", A555&lt;60, "Senior Adult", A555&gt;=60, "Elderly")</f>
        <v>Senior Adult</v>
      </c>
    </row>
    <row r="556" spans="1:8" x14ac:dyDescent="0.25">
      <c r="A556" s="1">
        <v>25</v>
      </c>
      <c r="B556" t="s">
        <v>7</v>
      </c>
      <c r="C556" s="2">
        <v>41.3</v>
      </c>
      <c r="D556" s="1">
        <v>0</v>
      </c>
      <c r="E556" t="s">
        <v>10</v>
      </c>
      <c r="F556" t="s">
        <v>14</v>
      </c>
      <c r="G556" s="3">
        <v>17878.900000000001</v>
      </c>
      <c r="H556" t="str" cm="1">
        <f t="array" ref="H556">_xlfn.IFS(A556&lt;13, "Child", A556&lt;20, "Teenager", A556&lt;40, "Young Adult", A556&lt;60, "Senior Adult", A556&gt;=60, "Elderly")</f>
        <v>Young Adult</v>
      </c>
    </row>
    <row r="557" spans="1:8" x14ac:dyDescent="0.25">
      <c r="A557" s="1">
        <v>28</v>
      </c>
      <c r="B557" t="s">
        <v>8</v>
      </c>
      <c r="C557" s="2">
        <v>23.8</v>
      </c>
      <c r="D557" s="1">
        <v>2</v>
      </c>
      <c r="E557" t="s">
        <v>10</v>
      </c>
      <c r="F557" t="s">
        <v>11</v>
      </c>
      <c r="G557" s="3">
        <v>3847.67</v>
      </c>
      <c r="H557" t="str" cm="1">
        <f t="array" ref="H557">_xlfn.IFS(A557&lt;13, "Child", A557&lt;20, "Teenager", A557&lt;40, "Young Adult", A557&lt;60, "Senior Adult", A557&gt;=60, "Elderly")</f>
        <v>Young Adult</v>
      </c>
    </row>
    <row r="558" spans="1:8" x14ac:dyDescent="0.25">
      <c r="A558" s="1">
        <v>46</v>
      </c>
      <c r="B558" t="s">
        <v>8</v>
      </c>
      <c r="C558" s="2">
        <v>33.4</v>
      </c>
      <c r="D558" s="1">
        <v>1</v>
      </c>
      <c r="E558" t="s">
        <v>10</v>
      </c>
      <c r="F558" t="s">
        <v>14</v>
      </c>
      <c r="G558" s="3">
        <v>8334.59</v>
      </c>
      <c r="H558" t="str" cm="1">
        <f t="array" ref="H558">_xlfn.IFS(A558&lt;13, "Child", A558&lt;20, "Teenager", A558&lt;40, "Young Adult", A558&lt;60, "Senior Adult", A558&gt;=60, "Elderly")</f>
        <v>Senior Adult</v>
      </c>
    </row>
    <row r="559" spans="1:8" x14ac:dyDescent="0.25">
      <c r="A559" s="1">
        <v>34</v>
      </c>
      <c r="B559" t="s">
        <v>8</v>
      </c>
      <c r="C559" s="2">
        <v>34.200000000000003</v>
      </c>
      <c r="D559" s="1">
        <v>0</v>
      </c>
      <c r="E559" t="s">
        <v>10</v>
      </c>
      <c r="F559" t="s">
        <v>12</v>
      </c>
      <c r="G559" s="3">
        <v>3935.18</v>
      </c>
      <c r="H559" t="str" cm="1">
        <f t="array" ref="H559">_xlfn.IFS(A559&lt;13, "Child", A559&lt;20, "Teenager", A559&lt;40, "Young Adult", A559&lt;60, "Senior Adult", A559&gt;=60, "Elderly")</f>
        <v>Young Adult</v>
      </c>
    </row>
    <row r="560" spans="1:8" x14ac:dyDescent="0.25">
      <c r="A560" s="1">
        <v>35</v>
      </c>
      <c r="B560" t="s">
        <v>7</v>
      </c>
      <c r="C560" s="2">
        <v>34.1</v>
      </c>
      <c r="D560" s="1">
        <v>3</v>
      </c>
      <c r="E560" t="s">
        <v>9</v>
      </c>
      <c r="F560" t="s">
        <v>13</v>
      </c>
      <c r="G560" s="3">
        <v>39983.43</v>
      </c>
      <c r="H560" t="str" cm="1">
        <f t="array" ref="H560">_xlfn.IFS(A560&lt;13, "Child", A560&lt;20, "Teenager", A560&lt;40, "Young Adult", A560&lt;60, "Senior Adult", A560&gt;=60, "Elderly")</f>
        <v>Young Adult</v>
      </c>
    </row>
    <row r="561" spans="1:8" x14ac:dyDescent="0.25">
      <c r="A561" s="1">
        <v>19</v>
      </c>
      <c r="B561" t="s">
        <v>8</v>
      </c>
      <c r="C561" s="2">
        <v>35.5</v>
      </c>
      <c r="D561" s="1">
        <v>0</v>
      </c>
      <c r="E561" t="s">
        <v>10</v>
      </c>
      <c r="F561" t="s">
        <v>13</v>
      </c>
      <c r="G561" s="3">
        <v>1646.43</v>
      </c>
      <c r="H561" t="str" cm="1">
        <f t="array" ref="H561">_xlfn.IFS(A561&lt;13, "Child", A561&lt;20, "Teenager", A561&lt;40, "Young Adult", A561&lt;60, "Senior Adult", A561&gt;=60, "Elderly")</f>
        <v>Teenager</v>
      </c>
    </row>
    <row r="562" spans="1:8" x14ac:dyDescent="0.25">
      <c r="A562" s="1">
        <v>46</v>
      </c>
      <c r="B562" t="s">
        <v>7</v>
      </c>
      <c r="C562" s="2">
        <v>20</v>
      </c>
      <c r="D562" s="1">
        <v>2</v>
      </c>
      <c r="E562" t="s">
        <v>10</v>
      </c>
      <c r="F562" t="s">
        <v>13</v>
      </c>
      <c r="G562" s="3">
        <v>9193.84</v>
      </c>
      <c r="H562" t="str" cm="1">
        <f t="array" ref="H562">_xlfn.IFS(A562&lt;13, "Child", A562&lt;20, "Teenager", A562&lt;40, "Young Adult", A562&lt;60, "Senior Adult", A562&gt;=60, "Elderly")</f>
        <v>Senior Adult</v>
      </c>
    </row>
    <row r="563" spans="1:8" x14ac:dyDescent="0.25">
      <c r="A563" s="1">
        <v>54</v>
      </c>
      <c r="B563" t="s">
        <v>7</v>
      </c>
      <c r="C563" s="2">
        <v>32.700000000000003</v>
      </c>
      <c r="D563" s="1">
        <v>0</v>
      </c>
      <c r="E563" t="s">
        <v>10</v>
      </c>
      <c r="F563" t="s">
        <v>14</v>
      </c>
      <c r="G563" s="3">
        <v>10923.93</v>
      </c>
      <c r="H563" t="str" cm="1">
        <f t="array" ref="H563">_xlfn.IFS(A563&lt;13, "Child", A563&lt;20, "Teenager", A563&lt;40, "Young Adult", A563&lt;60, "Senior Adult", A563&gt;=60, "Elderly")</f>
        <v>Senior Adult</v>
      </c>
    </row>
    <row r="564" spans="1:8" x14ac:dyDescent="0.25">
      <c r="A564" s="1">
        <v>27</v>
      </c>
      <c r="B564" t="s">
        <v>8</v>
      </c>
      <c r="C564" s="2">
        <v>30.5</v>
      </c>
      <c r="D564" s="1">
        <v>0</v>
      </c>
      <c r="E564" t="s">
        <v>10</v>
      </c>
      <c r="F564" t="s">
        <v>11</v>
      </c>
      <c r="G564" s="3">
        <v>2494.02</v>
      </c>
      <c r="H564" t="str" cm="1">
        <f t="array" ref="H564">_xlfn.IFS(A564&lt;13, "Child", A564&lt;20, "Teenager", A564&lt;40, "Young Adult", A564&lt;60, "Senior Adult", A564&gt;=60, "Elderly")</f>
        <v>Young Adult</v>
      </c>
    </row>
    <row r="565" spans="1:8" x14ac:dyDescent="0.25">
      <c r="A565" s="1">
        <v>50</v>
      </c>
      <c r="B565" t="s">
        <v>8</v>
      </c>
      <c r="C565" s="2">
        <v>44.8</v>
      </c>
      <c r="D565" s="1">
        <v>1</v>
      </c>
      <c r="E565" t="s">
        <v>10</v>
      </c>
      <c r="F565" t="s">
        <v>12</v>
      </c>
      <c r="G565" s="3">
        <v>9058.73</v>
      </c>
      <c r="H565" t="str" cm="1">
        <f t="array" ref="H565">_xlfn.IFS(A565&lt;13, "Child", A565&lt;20, "Teenager", A565&lt;40, "Young Adult", A565&lt;60, "Senior Adult", A565&gt;=60, "Elderly")</f>
        <v>Senior Adult</v>
      </c>
    </row>
    <row r="566" spans="1:8" x14ac:dyDescent="0.25">
      <c r="A566" s="1">
        <v>18</v>
      </c>
      <c r="B566" t="s">
        <v>7</v>
      </c>
      <c r="C566" s="2">
        <v>32.1</v>
      </c>
      <c r="D566" s="1">
        <v>2</v>
      </c>
      <c r="E566" t="s">
        <v>10</v>
      </c>
      <c r="F566" t="s">
        <v>12</v>
      </c>
      <c r="G566" s="3">
        <v>2801.26</v>
      </c>
      <c r="H566" t="str" cm="1">
        <f t="array" ref="H566">_xlfn.IFS(A566&lt;13, "Child", A566&lt;20, "Teenager", A566&lt;40, "Young Adult", A566&lt;60, "Senior Adult", A566&gt;=60, "Elderly")</f>
        <v>Teenager</v>
      </c>
    </row>
    <row r="567" spans="1:8" x14ac:dyDescent="0.25">
      <c r="A567" s="1">
        <v>19</v>
      </c>
      <c r="B567" t="s">
        <v>7</v>
      </c>
      <c r="C567" s="2">
        <v>30.5</v>
      </c>
      <c r="D567" s="1">
        <v>0</v>
      </c>
      <c r="E567" t="s">
        <v>10</v>
      </c>
      <c r="F567" t="s">
        <v>13</v>
      </c>
      <c r="G567" s="3">
        <v>2128.4299999999998</v>
      </c>
      <c r="H567" t="str" cm="1">
        <f t="array" ref="H567">_xlfn.IFS(A567&lt;13, "Child", A567&lt;20, "Teenager", A567&lt;40, "Young Adult", A567&lt;60, "Senior Adult", A567&gt;=60, "Elderly")</f>
        <v>Teenager</v>
      </c>
    </row>
    <row r="568" spans="1:8" x14ac:dyDescent="0.25">
      <c r="A568" s="1">
        <v>38</v>
      </c>
      <c r="B568" t="s">
        <v>7</v>
      </c>
      <c r="C568" s="2">
        <v>40.6</v>
      </c>
      <c r="D568" s="1">
        <v>1</v>
      </c>
      <c r="E568" t="s">
        <v>10</v>
      </c>
      <c r="F568" t="s">
        <v>13</v>
      </c>
      <c r="G568" s="3">
        <v>6373.56</v>
      </c>
      <c r="H568" t="str" cm="1">
        <f t="array" ref="H568">_xlfn.IFS(A568&lt;13, "Child", A568&lt;20, "Teenager", A568&lt;40, "Young Adult", A568&lt;60, "Senior Adult", A568&gt;=60, "Elderly")</f>
        <v>Young Adult</v>
      </c>
    </row>
    <row r="569" spans="1:8" x14ac:dyDescent="0.25">
      <c r="A569" s="1">
        <v>41</v>
      </c>
      <c r="B569" t="s">
        <v>8</v>
      </c>
      <c r="C569" s="2">
        <v>30.6</v>
      </c>
      <c r="D569" s="1">
        <v>2</v>
      </c>
      <c r="E569" t="s">
        <v>10</v>
      </c>
      <c r="F569" t="s">
        <v>13</v>
      </c>
      <c r="G569" s="3">
        <v>7256.72</v>
      </c>
      <c r="H569" t="str" cm="1">
        <f t="array" ref="H569">_xlfn.IFS(A569&lt;13, "Child", A569&lt;20, "Teenager", A569&lt;40, "Young Adult", A569&lt;60, "Senior Adult", A569&gt;=60, "Elderly")</f>
        <v>Senior Adult</v>
      </c>
    </row>
    <row r="570" spans="1:8" x14ac:dyDescent="0.25">
      <c r="A570" s="1">
        <v>49</v>
      </c>
      <c r="B570" t="s">
        <v>7</v>
      </c>
      <c r="C570" s="2">
        <v>31.9</v>
      </c>
      <c r="D570" s="1">
        <v>5</v>
      </c>
      <c r="E570" t="s">
        <v>10</v>
      </c>
      <c r="F570" t="s">
        <v>11</v>
      </c>
      <c r="G570" s="3">
        <v>11552.9</v>
      </c>
      <c r="H570" t="str" cm="1">
        <f t="array" ref="H570">_xlfn.IFS(A570&lt;13, "Child", A570&lt;20, "Teenager", A570&lt;40, "Young Adult", A570&lt;60, "Senior Adult", A570&gt;=60, "Elderly")</f>
        <v>Senior Adult</v>
      </c>
    </row>
    <row r="571" spans="1:8" x14ac:dyDescent="0.25">
      <c r="A571" s="1">
        <v>48</v>
      </c>
      <c r="B571" t="s">
        <v>8</v>
      </c>
      <c r="C571" s="2">
        <v>40.6</v>
      </c>
      <c r="D571" s="1">
        <v>2</v>
      </c>
      <c r="E571" t="s">
        <v>9</v>
      </c>
      <c r="F571" t="s">
        <v>13</v>
      </c>
      <c r="G571" s="3">
        <v>45702.02</v>
      </c>
      <c r="H571" t="str" cm="1">
        <f t="array" ref="H571">_xlfn.IFS(A571&lt;13, "Child", A571&lt;20, "Teenager", A571&lt;40, "Young Adult", A571&lt;60, "Senior Adult", A571&gt;=60, "Elderly")</f>
        <v>Senior Adult</v>
      </c>
    </row>
    <row r="572" spans="1:8" x14ac:dyDescent="0.25">
      <c r="A572" s="1">
        <v>31</v>
      </c>
      <c r="B572" t="s">
        <v>7</v>
      </c>
      <c r="C572" s="2">
        <v>29.1</v>
      </c>
      <c r="D572" s="1">
        <v>0</v>
      </c>
      <c r="E572" t="s">
        <v>10</v>
      </c>
      <c r="F572" t="s">
        <v>11</v>
      </c>
      <c r="G572" s="3">
        <v>3761.29</v>
      </c>
      <c r="H572" t="str" cm="1">
        <f t="array" ref="H572">_xlfn.IFS(A572&lt;13, "Child", A572&lt;20, "Teenager", A572&lt;40, "Young Adult", A572&lt;60, "Senior Adult", A572&gt;=60, "Elderly")</f>
        <v>Young Adult</v>
      </c>
    </row>
    <row r="573" spans="1:8" x14ac:dyDescent="0.25">
      <c r="A573" s="1">
        <v>18</v>
      </c>
      <c r="B573" t="s">
        <v>7</v>
      </c>
      <c r="C573" s="2">
        <v>37.299999999999997</v>
      </c>
      <c r="D573" s="1">
        <v>1</v>
      </c>
      <c r="E573" t="s">
        <v>10</v>
      </c>
      <c r="F573" t="s">
        <v>12</v>
      </c>
      <c r="G573" s="3">
        <v>2219.4499999999998</v>
      </c>
      <c r="H573" t="str" cm="1">
        <f t="array" ref="H573">_xlfn.IFS(A573&lt;13, "Child", A573&lt;20, "Teenager", A573&lt;40, "Young Adult", A573&lt;60, "Senior Adult", A573&gt;=60, "Elderly")</f>
        <v>Teenager</v>
      </c>
    </row>
    <row r="574" spans="1:8" x14ac:dyDescent="0.25">
      <c r="A574" s="1">
        <v>30</v>
      </c>
      <c r="B574" t="s">
        <v>7</v>
      </c>
      <c r="C574" s="2">
        <v>43.1</v>
      </c>
      <c r="D574" s="1">
        <v>2</v>
      </c>
      <c r="E574" t="s">
        <v>10</v>
      </c>
      <c r="F574" t="s">
        <v>12</v>
      </c>
      <c r="G574" s="3">
        <v>4753.6400000000003</v>
      </c>
      <c r="H574" t="str" cm="1">
        <f t="array" ref="H574">_xlfn.IFS(A574&lt;13, "Child", A574&lt;20, "Teenager", A574&lt;40, "Young Adult", A574&lt;60, "Senior Adult", A574&gt;=60, "Elderly")</f>
        <v>Young Adult</v>
      </c>
    </row>
    <row r="575" spans="1:8" x14ac:dyDescent="0.25">
      <c r="A575" s="1">
        <v>62</v>
      </c>
      <c r="B575" t="s">
        <v>7</v>
      </c>
      <c r="C575" s="2">
        <v>36.9</v>
      </c>
      <c r="D575" s="1">
        <v>1</v>
      </c>
      <c r="E575" t="s">
        <v>10</v>
      </c>
      <c r="F575" t="s">
        <v>14</v>
      </c>
      <c r="G575" s="3">
        <v>31620</v>
      </c>
      <c r="H575" t="str" cm="1">
        <f t="array" ref="H575">_xlfn.IFS(A575&lt;13, "Child", A575&lt;20, "Teenager", A575&lt;40, "Young Adult", A575&lt;60, "Senior Adult", A575&gt;=60, "Elderly")</f>
        <v>Elderly</v>
      </c>
    </row>
    <row r="576" spans="1:8" x14ac:dyDescent="0.25">
      <c r="A576" s="1">
        <v>57</v>
      </c>
      <c r="B576" t="s">
        <v>7</v>
      </c>
      <c r="C576" s="2">
        <v>34.299999999999997</v>
      </c>
      <c r="D576" s="1">
        <v>2</v>
      </c>
      <c r="E576" t="s">
        <v>10</v>
      </c>
      <c r="F576" t="s">
        <v>14</v>
      </c>
      <c r="G576" s="3">
        <v>13224.06</v>
      </c>
      <c r="H576" t="str" cm="1">
        <f t="array" ref="H576">_xlfn.IFS(A576&lt;13, "Child", A576&lt;20, "Teenager", A576&lt;40, "Young Adult", A576&lt;60, "Senior Adult", A576&gt;=60, "Elderly")</f>
        <v>Senior Adult</v>
      </c>
    </row>
    <row r="577" spans="1:8" x14ac:dyDescent="0.25">
      <c r="A577" s="1">
        <v>58</v>
      </c>
      <c r="B577" t="s">
        <v>7</v>
      </c>
      <c r="C577" s="2">
        <v>27.2</v>
      </c>
      <c r="D577" s="1">
        <v>0</v>
      </c>
      <c r="E577" t="s">
        <v>10</v>
      </c>
      <c r="F577" t="s">
        <v>13</v>
      </c>
      <c r="G577" s="3">
        <v>12222.9</v>
      </c>
      <c r="H577" t="str" cm="1">
        <f t="array" ref="H577">_xlfn.IFS(A577&lt;13, "Child", A577&lt;20, "Teenager", A577&lt;40, "Young Adult", A577&lt;60, "Senior Adult", A577&gt;=60, "Elderly")</f>
        <v>Senior Adult</v>
      </c>
    </row>
    <row r="578" spans="1:8" x14ac:dyDescent="0.25">
      <c r="A578" s="1">
        <v>22</v>
      </c>
      <c r="B578" t="s">
        <v>8</v>
      </c>
      <c r="C578" s="2">
        <v>26.8</v>
      </c>
      <c r="D578" s="1">
        <v>0</v>
      </c>
      <c r="E578" t="s">
        <v>10</v>
      </c>
      <c r="F578" t="s">
        <v>12</v>
      </c>
      <c r="G578" s="3">
        <v>1665</v>
      </c>
      <c r="H578" t="str" cm="1">
        <f t="array" ref="H578">_xlfn.IFS(A578&lt;13, "Child", A578&lt;20, "Teenager", A578&lt;40, "Young Adult", A578&lt;60, "Senior Adult", A578&gt;=60, "Elderly")</f>
        <v>Young Adult</v>
      </c>
    </row>
    <row r="579" spans="1:8" x14ac:dyDescent="0.25">
      <c r="A579" s="1">
        <v>31</v>
      </c>
      <c r="B579" t="s">
        <v>7</v>
      </c>
      <c r="C579" s="2">
        <v>38.1</v>
      </c>
      <c r="D579" s="1">
        <v>1</v>
      </c>
      <c r="E579" t="s">
        <v>9</v>
      </c>
      <c r="F579" t="s">
        <v>14</v>
      </c>
      <c r="G579" s="3">
        <v>58571.07</v>
      </c>
      <c r="H579" t="str" cm="1">
        <f t="array" ref="H579">_xlfn.IFS(A579&lt;13, "Child", A579&lt;20, "Teenager", A579&lt;40, "Young Adult", A579&lt;60, "Senior Adult", A579&gt;=60, "Elderly")</f>
        <v>Young Adult</v>
      </c>
    </row>
    <row r="580" spans="1:8" x14ac:dyDescent="0.25">
      <c r="A580" s="1">
        <v>52</v>
      </c>
      <c r="B580" t="s">
        <v>8</v>
      </c>
      <c r="C580" s="2">
        <v>30.2</v>
      </c>
      <c r="D580" s="1">
        <v>1</v>
      </c>
      <c r="E580" t="s">
        <v>10</v>
      </c>
      <c r="F580" t="s">
        <v>11</v>
      </c>
      <c r="G580" s="3">
        <v>9724.5300000000007</v>
      </c>
      <c r="H580" t="str" cm="1">
        <f t="array" ref="H580">_xlfn.IFS(A580&lt;13, "Child", A580&lt;20, "Teenager", A580&lt;40, "Young Adult", A580&lt;60, "Senior Adult", A580&gt;=60, "Elderly")</f>
        <v>Senior Adult</v>
      </c>
    </row>
    <row r="581" spans="1:8" x14ac:dyDescent="0.25">
      <c r="A581" s="1">
        <v>25</v>
      </c>
      <c r="B581" t="s">
        <v>7</v>
      </c>
      <c r="C581" s="2">
        <v>23.5</v>
      </c>
      <c r="D581" s="1">
        <v>0</v>
      </c>
      <c r="E581" t="s">
        <v>10</v>
      </c>
      <c r="F581" t="s">
        <v>14</v>
      </c>
      <c r="G581" s="3">
        <v>3206.49</v>
      </c>
      <c r="H581" t="str" cm="1">
        <f t="array" ref="H581">_xlfn.IFS(A581&lt;13, "Child", A581&lt;20, "Teenager", A581&lt;40, "Young Adult", A581&lt;60, "Senior Adult", A581&gt;=60, "Elderly")</f>
        <v>Young Adult</v>
      </c>
    </row>
    <row r="582" spans="1:8" x14ac:dyDescent="0.25">
      <c r="A582" s="1">
        <v>59</v>
      </c>
      <c r="B582" t="s">
        <v>8</v>
      </c>
      <c r="C582" s="2">
        <v>25.5</v>
      </c>
      <c r="D582" s="1">
        <v>1</v>
      </c>
      <c r="E582" t="s">
        <v>10</v>
      </c>
      <c r="F582" t="s">
        <v>14</v>
      </c>
      <c r="G582" s="3">
        <v>12913.99</v>
      </c>
      <c r="H582" t="str" cm="1">
        <f t="array" ref="H582">_xlfn.IFS(A582&lt;13, "Child", A582&lt;20, "Teenager", A582&lt;40, "Young Adult", A582&lt;60, "Senior Adult", A582&gt;=60, "Elderly")</f>
        <v>Senior Adult</v>
      </c>
    </row>
    <row r="583" spans="1:8" x14ac:dyDescent="0.25">
      <c r="A583" s="1">
        <v>19</v>
      </c>
      <c r="B583" t="s">
        <v>8</v>
      </c>
      <c r="C583" s="2">
        <v>30.6</v>
      </c>
      <c r="D583" s="1">
        <v>0</v>
      </c>
      <c r="E583" t="s">
        <v>10</v>
      </c>
      <c r="F583" t="s">
        <v>13</v>
      </c>
      <c r="G583" s="3">
        <v>1639.56</v>
      </c>
      <c r="H583" t="str" cm="1">
        <f t="array" ref="H583">_xlfn.IFS(A583&lt;13, "Child", A583&lt;20, "Teenager", A583&lt;40, "Young Adult", A583&lt;60, "Senior Adult", A583&gt;=60, "Elderly")</f>
        <v>Teenager</v>
      </c>
    </row>
    <row r="584" spans="1:8" x14ac:dyDescent="0.25">
      <c r="A584" s="1">
        <v>39</v>
      </c>
      <c r="B584" t="s">
        <v>8</v>
      </c>
      <c r="C584" s="2">
        <v>45.4</v>
      </c>
      <c r="D584" s="1">
        <v>2</v>
      </c>
      <c r="E584" t="s">
        <v>10</v>
      </c>
      <c r="F584" t="s">
        <v>12</v>
      </c>
      <c r="G584" s="3">
        <v>6356.27</v>
      </c>
      <c r="H584" t="str" cm="1">
        <f t="array" ref="H584">_xlfn.IFS(A584&lt;13, "Child", A584&lt;20, "Teenager", A584&lt;40, "Young Adult", A584&lt;60, "Senior Adult", A584&gt;=60, "Elderly")</f>
        <v>Young Adult</v>
      </c>
    </row>
    <row r="585" spans="1:8" x14ac:dyDescent="0.25">
      <c r="A585" s="1">
        <v>32</v>
      </c>
      <c r="B585" t="s">
        <v>7</v>
      </c>
      <c r="C585" s="2">
        <v>23.7</v>
      </c>
      <c r="D585" s="1">
        <v>1</v>
      </c>
      <c r="E585" t="s">
        <v>10</v>
      </c>
      <c r="F585" t="s">
        <v>12</v>
      </c>
      <c r="G585" s="3">
        <v>17626.240000000002</v>
      </c>
      <c r="H585" t="str" cm="1">
        <f t="array" ref="H585">_xlfn.IFS(A585&lt;13, "Child", A585&lt;20, "Teenager", A585&lt;40, "Young Adult", A585&lt;60, "Senior Adult", A585&gt;=60, "Elderly")</f>
        <v>Young Adult</v>
      </c>
    </row>
    <row r="586" spans="1:8" x14ac:dyDescent="0.25">
      <c r="A586" s="1">
        <v>19</v>
      </c>
      <c r="B586" t="s">
        <v>8</v>
      </c>
      <c r="C586" s="2">
        <v>20.7</v>
      </c>
      <c r="D586" s="1">
        <v>0</v>
      </c>
      <c r="E586" t="s">
        <v>10</v>
      </c>
      <c r="F586" t="s">
        <v>11</v>
      </c>
      <c r="G586" s="3">
        <v>1242.82</v>
      </c>
      <c r="H586" t="str" cm="1">
        <f t="array" ref="H586">_xlfn.IFS(A586&lt;13, "Child", A586&lt;20, "Teenager", A586&lt;40, "Young Adult", A586&lt;60, "Senior Adult", A586&gt;=60, "Elderly")</f>
        <v>Teenager</v>
      </c>
    </row>
    <row r="587" spans="1:8" x14ac:dyDescent="0.25">
      <c r="A587" s="1">
        <v>33</v>
      </c>
      <c r="B587" t="s">
        <v>7</v>
      </c>
      <c r="C587" s="2">
        <v>28.3</v>
      </c>
      <c r="D587" s="1">
        <v>1</v>
      </c>
      <c r="E587" t="s">
        <v>10</v>
      </c>
      <c r="F587" t="s">
        <v>12</v>
      </c>
      <c r="G587" s="3">
        <v>4779.6000000000004</v>
      </c>
      <c r="H587" t="str" cm="1">
        <f t="array" ref="H587">_xlfn.IFS(A587&lt;13, "Child", A587&lt;20, "Teenager", A587&lt;40, "Young Adult", A587&lt;60, "Senior Adult", A587&gt;=60, "Elderly")</f>
        <v>Young Adult</v>
      </c>
    </row>
    <row r="588" spans="1:8" x14ac:dyDescent="0.25">
      <c r="A588" s="1">
        <v>21</v>
      </c>
      <c r="B588" t="s">
        <v>8</v>
      </c>
      <c r="C588" s="2">
        <v>20.2</v>
      </c>
      <c r="D588" s="1">
        <v>3</v>
      </c>
      <c r="E588" t="s">
        <v>10</v>
      </c>
      <c r="F588" t="s">
        <v>14</v>
      </c>
      <c r="G588" s="3">
        <v>3861.21</v>
      </c>
      <c r="H588" t="str" cm="1">
        <f t="array" ref="H588">_xlfn.IFS(A588&lt;13, "Child", A588&lt;20, "Teenager", A588&lt;40, "Young Adult", A588&lt;60, "Senior Adult", A588&gt;=60, "Elderly")</f>
        <v>Young Adult</v>
      </c>
    </row>
    <row r="589" spans="1:8" x14ac:dyDescent="0.25">
      <c r="A589" s="1">
        <v>34</v>
      </c>
      <c r="B589" t="s">
        <v>7</v>
      </c>
      <c r="C589" s="2">
        <v>30.2</v>
      </c>
      <c r="D589" s="1">
        <v>1</v>
      </c>
      <c r="E589" t="s">
        <v>9</v>
      </c>
      <c r="F589" t="s">
        <v>13</v>
      </c>
      <c r="G589" s="3">
        <v>43943.88</v>
      </c>
      <c r="H589" t="str" cm="1">
        <f t="array" ref="H589">_xlfn.IFS(A589&lt;13, "Child", A589&lt;20, "Teenager", A589&lt;40, "Young Adult", A589&lt;60, "Senior Adult", A589&gt;=60, "Elderly")</f>
        <v>Young Adult</v>
      </c>
    </row>
    <row r="590" spans="1:8" x14ac:dyDescent="0.25">
      <c r="A590" s="1">
        <v>61</v>
      </c>
      <c r="B590" t="s">
        <v>7</v>
      </c>
      <c r="C590" s="2">
        <v>35.9</v>
      </c>
      <c r="D590" s="1">
        <v>0</v>
      </c>
      <c r="E590" t="s">
        <v>10</v>
      </c>
      <c r="F590" t="s">
        <v>14</v>
      </c>
      <c r="G590" s="3">
        <v>13635.64</v>
      </c>
      <c r="H590" t="str" cm="1">
        <f t="array" ref="H590">_xlfn.IFS(A590&lt;13, "Child", A590&lt;20, "Teenager", A590&lt;40, "Young Adult", A590&lt;60, "Senior Adult", A590&gt;=60, "Elderly")</f>
        <v>Elderly</v>
      </c>
    </row>
    <row r="591" spans="1:8" x14ac:dyDescent="0.25">
      <c r="A591" s="1">
        <v>38</v>
      </c>
      <c r="B591" t="s">
        <v>7</v>
      </c>
      <c r="C591" s="2">
        <v>30.7</v>
      </c>
      <c r="D591" s="1">
        <v>1</v>
      </c>
      <c r="E591" t="s">
        <v>10</v>
      </c>
      <c r="F591" t="s">
        <v>12</v>
      </c>
      <c r="G591" s="3">
        <v>5976.83</v>
      </c>
      <c r="H591" t="str" cm="1">
        <f t="array" ref="H591">_xlfn.IFS(A591&lt;13, "Child", A591&lt;20, "Teenager", A591&lt;40, "Young Adult", A591&lt;60, "Senior Adult", A591&gt;=60, "Elderly")</f>
        <v>Young Adult</v>
      </c>
    </row>
    <row r="592" spans="1:8" x14ac:dyDescent="0.25">
      <c r="A592" s="1">
        <v>58</v>
      </c>
      <c r="B592" t="s">
        <v>7</v>
      </c>
      <c r="C592" s="2">
        <v>29</v>
      </c>
      <c r="D592" s="1">
        <v>0</v>
      </c>
      <c r="E592" t="s">
        <v>10</v>
      </c>
      <c r="F592" t="s">
        <v>11</v>
      </c>
      <c r="G592" s="3">
        <v>11842.44</v>
      </c>
      <c r="H592" t="str" cm="1">
        <f t="array" ref="H592">_xlfn.IFS(A592&lt;13, "Child", A592&lt;20, "Teenager", A592&lt;40, "Young Adult", A592&lt;60, "Senior Adult", A592&gt;=60, "Elderly")</f>
        <v>Senior Adult</v>
      </c>
    </row>
    <row r="593" spans="1:8" x14ac:dyDescent="0.25">
      <c r="A593" s="1">
        <v>47</v>
      </c>
      <c r="B593" t="s">
        <v>8</v>
      </c>
      <c r="C593" s="2">
        <v>19.600000000000001</v>
      </c>
      <c r="D593" s="1">
        <v>1</v>
      </c>
      <c r="E593" t="s">
        <v>10</v>
      </c>
      <c r="F593" t="s">
        <v>13</v>
      </c>
      <c r="G593" s="3">
        <v>8428.07</v>
      </c>
      <c r="H593" t="str" cm="1">
        <f t="array" ref="H593">_xlfn.IFS(A593&lt;13, "Child", A593&lt;20, "Teenager", A593&lt;40, "Young Adult", A593&lt;60, "Senior Adult", A593&gt;=60, "Elderly")</f>
        <v>Senior Adult</v>
      </c>
    </row>
    <row r="594" spans="1:8" x14ac:dyDescent="0.25">
      <c r="A594" s="1">
        <v>20</v>
      </c>
      <c r="B594" t="s">
        <v>8</v>
      </c>
      <c r="C594" s="2">
        <v>31.1</v>
      </c>
      <c r="D594" s="1">
        <v>2</v>
      </c>
      <c r="E594" t="s">
        <v>10</v>
      </c>
      <c r="F594" t="s">
        <v>12</v>
      </c>
      <c r="G594" s="3">
        <v>2566.4699999999998</v>
      </c>
      <c r="H594" t="str" cm="1">
        <f t="array" ref="H594">_xlfn.IFS(A594&lt;13, "Child", A594&lt;20, "Teenager", A594&lt;40, "Young Adult", A594&lt;60, "Senior Adult", A594&gt;=60, "Elderly")</f>
        <v>Young Adult</v>
      </c>
    </row>
    <row r="595" spans="1:8" x14ac:dyDescent="0.25">
      <c r="A595" s="1">
        <v>21</v>
      </c>
      <c r="B595" t="s">
        <v>7</v>
      </c>
      <c r="C595" s="2">
        <v>21.9</v>
      </c>
      <c r="D595" s="1">
        <v>1</v>
      </c>
      <c r="E595" t="s">
        <v>9</v>
      </c>
      <c r="F595" t="s">
        <v>14</v>
      </c>
      <c r="G595" s="3">
        <v>15359.1</v>
      </c>
      <c r="H595" t="str" cm="1">
        <f t="array" ref="H595">_xlfn.IFS(A595&lt;13, "Child", A595&lt;20, "Teenager", A595&lt;40, "Young Adult", A595&lt;60, "Senior Adult", A595&gt;=60, "Elderly")</f>
        <v>Young Adult</v>
      </c>
    </row>
    <row r="596" spans="1:8" x14ac:dyDescent="0.25">
      <c r="A596" s="1">
        <v>41</v>
      </c>
      <c r="B596" t="s">
        <v>8</v>
      </c>
      <c r="C596" s="2">
        <v>40.299999999999997</v>
      </c>
      <c r="D596" s="1">
        <v>0</v>
      </c>
      <c r="E596" t="s">
        <v>10</v>
      </c>
      <c r="F596" t="s">
        <v>12</v>
      </c>
      <c r="G596" s="3">
        <v>5709.16</v>
      </c>
      <c r="H596" t="str" cm="1">
        <f t="array" ref="H596">_xlfn.IFS(A596&lt;13, "Child", A596&lt;20, "Teenager", A596&lt;40, "Young Adult", A596&lt;60, "Senior Adult", A596&gt;=60, "Elderly")</f>
        <v>Senior Adult</v>
      </c>
    </row>
    <row r="597" spans="1:8" x14ac:dyDescent="0.25">
      <c r="A597" s="1">
        <v>46</v>
      </c>
      <c r="B597" t="s">
        <v>7</v>
      </c>
      <c r="C597" s="2">
        <v>33.700000000000003</v>
      </c>
      <c r="D597" s="1">
        <v>1</v>
      </c>
      <c r="E597" t="s">
        <v>10</v>
      </c>
      <c r="F597" t="s">
        <v>14</v>
      </c>
      <c r="G597" s="3">
        <v>8823.99</v>
      </c>
      <c r="H597" t="str" cm="1">
        <f t="array" ref="H597">_xlfn.IFS(A597&lt;13, "Child", A597&lt;20, "Teenager", A597&lt;40, "Young Adult", A597&lt;60, "Senior Adult", A597&gt;=60, "Elderly")</f>
        <v>Senior Adult</v>
      </c>
    </row>
    <row r="598" spans="1:8" x14ac:dyDescent="0.25">
      <c r="A598" s="1">
        <v>42</v>
      </c>
      <c r="B598" t="s">
        <v>7</v>
      </c>
      <c r="C598" s="2">
        <v>29.5</v>
      </c>
      <c r="D598" s="1">
        <v>2</v>
      </c>
      <c r="E598" t="s">
        <v>10</v>
      </c>
      <c r="F598" t="s">
        <v>12</v>
      </c>
      <c r="G598" s="3">
        <v>7640.31</v>
      </c>
      <c r="H598" t="str" cm="1">
        <f t="array" ref="H598">_xlfn.IFS(A598&lt;13, "Child", A598&lt;20, "Teenager", A598&lt;40, "Young Adult", A598&lt;60, "Senior Adult", A598&gt;=60, "Elderly")</f>
        <v>Senior Adult</v>
      </c>
    </row>
    <row r="599" spans="1:8" x14ac:dyDescent="0.25">
      <c r="A599" s="1">
        <v>34</v>
      </c>
      <c r="B599" t="s">
        <v>7</v>
      </c>
      <c r="C599" s="2">
        <v>33.299999999999997</v>
      </c>
      <c r="D599" s="1">
        <v>1</v>
      </c>
      <c r="E599" t="s">
        <v>10</v>
      </c>
      <c r="F599" t="s">
        <v>14</v>
      </c>
      <c r="G599" s="3">
        <v>5594.85</v>
      </c>
      <c r="H599" t="str" cm="1">
        <f t="array" ref="H599">_xlfn.IFS(A599&lt;13, "Child", A599&lt;20, "Teenager", A599&lt;40, "Young Adult", A599&lt;60, "Senior Adult", A599&gt;=60, "Elderly")</f>
        <v>Young Adult</v>
      </c>
    </row>
    <row r="600" spans="1:8" x14ac:dyDescent="0.25">
      <c r="A600" s="1">
        <v>43</v>
      </c>
      <c r="B600" t="s">
        <v>8</v>
      </c>
      <c r="C600" s="2">
        <v>32.6</v>
      </c>
      <c r="D600" s="1">
        <v>2</v>
      </c>
      <c r="E600" t="s">
        <v>10</v>
      </c>
      <c r="F600" t="s">
        <v>11</v>
      </c>
      <c r="G600" s="3">
        <v>7441.5</v>
      </c>
      <c r="H600" t="str" cm="1">
        <f t="array" ref="H600">_xlfn.IFS(A600&lt;13, "Child", A600&lt;20, "Teenager", A600&lt;40, "Young Adult", A600&lt;60, "Senior Adult", A600&gt;=60, "Elderly")</f>
        <v>Senior Adult</v>
      </c>
    </row>
    <row r="601" spans="1:8" x14ac:dyDescent="0.25">
      <c r="A601" s="1">
        <v>52</v>
      </c>
      <c r="B601" t="s">
        <v>7</v>
      </c>
      <c r="C601" s="2">
        <v>37.5</v>
      </c>
      <c r="D601" s="1">
        <v>2</v>
      </c>
      <c r="E601" t="s">
        <v>10</v>
      </c>
      <c r="F601" t="s">
        <v>13</v>
      </c>
      <c r="G601" s="3">
        <v>33471.97</v>
      </c>
      <c r="H601" t="str" cm="1">
        <f t="array" ref="H601">_xlfn.IFS(A601&lt;13, "Child", A601&lt;20, "Teenager", A601&lt;40, "Young Adult", A601&lt;60, "Senior Adult", A601&gt;=60, "Elderly")</f>
        <v>Senior Adult</v>
      </c>
    </row>
    <row r="602" spans="1:8" x14ac:dyDescent="0.25">
      <c r="A602" s="1">
        <v>18</v>
      </c>
      <c r="B602" t="s">
        <v>7</v>
      </c>
      <c r="C602" s="2">
        <v>39.200000000000003</v>
      </c>
      <c r="D602" s="1">
        <v>0</v>
      </c>
      <c r="E602" t="s">
        <v>10</v>
      </c>
      <c r="F602" t="s">
        <v>12</v>
      </c>
      <c r="G602" s="3">
        <v>1633.04</v>
      </c>
      <c r="H602" t="str" cm="1">
        <f t="array" ref="H602">_xlfn.IFS(A602&lt;13, "Child", A602&lt;20, "Teenager", A602&lt;40, "Young Adult", A602&lt;60, "Senior Adult", A602&gt;=60, "Elderly")</f>
        <v>Teenager</v>
      </c>
    </row>
    <row r="603" spans="1:8" x14ac:dyDescent="0.25">
      <c r="A603" s="1">
        <v>51</v>
      </c>
      <c r="B603" t="s">
        <v>8</v>
      </c>
      <c r="C603" s="2">
        <v>31.6</v>
      </c>
      <c r="D603" s="1">
        <v>0</v>
      </c>
      <c r="E603" t="s">
        <v>10</v>
      </c>
      <c r="F603" t="s">
        <v>13</v>
      </c>
      <c r="G603" s="3">
        <v>9174.14</v>
      </c>
      <c r="H603" t="str" cm="1">
        <f t="array" ref="H603">_xlfn.IFS(A603&lt;13, "Child", A603&lt;20, "Teenager", A603&lt;40, "Young Adult", A603&lt;60, "Senior Adult", A603&gt;=60, "Elderly")</f>
        <v>Senior Adult</v>
      </c>
    </row>
    <row r="604" spans="1:8" x14ac:dyDescent="0.25">
      <c r="A604" s="1">
        <v>56</v>
      </c>
      <c r="B604" t="s">
        <v>7</v>
      </c>
      <c r="C604" s="2">
        <v>25.3</v>
      </c>
      <c r="D604" s="1">
        <v>0</v>
      </c>
      <c r="E604" t="s">
        <v>10</v>
      </c>
      <c r="F604" t="s">
        <v>11</v>
      </c>
      <c r="G604" s="3">
        <v>11070.54</v>
      </c>
      <c r="H604" t="str" cm="1">
        <f t="array" ref="H604">_xlfn.IFS(A604&lt;13, "Child", A604&lt;20, "Teenager", A604&lt;40, "Young Adult", A604&lt;60, "Senior Adult", A604&gt;=60, "Elderly")</f>
        <v>Senior Adult</v>
      </c>
    </row>
    <row r="605" spans="1:8" x14ac:dyDescent="0.25">
      <c r="A605" s="1">
        <v>64</v>
      </c>
      <c r="B605" t="s">
        <v>7</v>
      </c>
      <c r="C605" s="2">
        <v>39.1</v>
      </c>
      <c r="D605" s="1">
        <v>3</v>
      </c>
      <c r="E605" t="s">
        <v>10</v>
      </c>
      <c r="F605" t="s">
        <v>12</v>
      </c>
      <c r="G605" s="3">
        <v>16085.13</v>
      </c>
      <c r="H605" t="str" cm="1">
        <f t="array" ref="H605">_xlfn.IFS(A605&lt;13, "Child", A605&lt;20, "Teenager", A605&lt;40, "Young Adult", A605&lt;60, "Senior Adult", A605&gt;=60, "Elderly")</f>
        <v>Elderly</v>
      </c>
    </row>
    <row r="606" spans="1:8" x14ac:dyDescent="0.25">
      <c r="A606" s="1">
        <v>19</v>
      </c>
      <c r="B606" t="s">
        <v>7</v>
      </c>
      <c r="C606" s="2">
        <v>28.3</v>
      </c>
      <c r="D606" s="1">
        <v>0</v>
      </c>
      <c r="E606" t="s">
        <v>9</v>
      </c>
      <c r="F606" t="s">
        <v>13</v>
      </c>
      <c r="G606" s="3">
        <v>17468.98</v>
      </c>
      <c r="H606" t="str" cm="1">
        <f t="array" ref="H606">_xlfn.IFS(A606&lt;13, "Child", A606&lt;20, "Teenager", A606&lt;40, "Young Adult", A606&lt;60, "Senior Adult", A606&gt;=60, "Elderly")</f>
        <v>Teenager</v>
      </c>
    </row>
    <row r="607" spans="1:8" x14ac:dyDescent="0.25">
      <c r="A607" s="1">
        <v>51</v>
      </c>
      <c r="B607" t="s">
        <v>7</v>
      </c>
      <c r="C607" s="2">
        <v>34.1</v>
      </c>
      <c r="D607" s="1">
        <v>0</v>
      </c>
      <c r="E607" t="s">
        <v>10</v>
      </c>
      <c r="F607" t="s">
        <v>12</v>
      </c>
      <c r="G607" s="3">
        <v>9283.56</v>
      </c>
      <c r="H607" t="str" cm="1">
        <f t="array" ref="H607">_xlfn.IFS(A607&lt;13, "Child", A607&lt;20, "Teenager", A607&lt;40, "Young Adult", A607&lt;60, "Senior Adult", A607&gt;=60, "Elderly")</f>
        <v>Senior Adult</v>
      </c>
    </row>
    <row r="608" spans="1:8" x14ac:dyDescent="0.25">
      <c r="A608" s="1">
        <v>27</v>
      </c>
      <c r="B608" t="s">
        <v>7</v>
      </c>
      <c r="C608" s="2">
        <v>25.2</v>
      </c>
      <c r="D608" s="1">
        <v>0</v>
      </c>
      <c r="E608" t="s">
        <v>10</v>
      </c>
      <c r="F608" t="s">
        <v>14</v>
      </c>
      <c r="G608" s="3">
        <v>3558.62</v>
      </c>
      <c r="H608" t="str" cm="1">
        <f t="array" ref="H608">_xlfn.IFS(A608&lt;13, "Child", A608&lt;20, "Teenager", A608&lt;40, "Young Adult", A608&lt;60, "Senior Adult", A608&gt;=60, "Elderly")</f>
        <v>Young Adult</v>
      </c>
    </row>
    <row r="609" spans="1:8" x14ac:dyDescent="0.25">
      <c r="A609" s="1">
        <v>59</v>
      </c>
      <c r="B609" t="s">
        <v>7</v>
      </c>
      <c r="C609" s="2">
        <v>23.7</v>
      </c>
      <c r="D609" s="1">
        <v>0</v>
      </c>
      <c r="E609" t="s">
        <v>9</v>
      </c>
      <c r="F609" t="s">
        <v>13</v>
      </c>
      <c r="G609" s="3">
        <v>25678.78</v>
      </c>
      <c r="H609" t="str" cm="1">
        <f t="array" ref="H609">_xlfn.IFS(A609&lt;13, "Child", A609&lt;20, "Teenager", A609&lt;40, "Young Adult", A609&lt;60, "Senior Adult", A609&gt;=60, "Elderly")</f>
        <v>Senior Adult</v>
      </c>
    </row>
    <row r="610" spans="1:8" x14ac:dyDescent="0.25">
      <c r="A610" s="1">
        <v>28</v>
      </c>
      <c r="B610" t="s">
        <v>8</v>
      </c>
      <c r="C610" s="2">
        <v>27</v>
      </c>
      <c r="D610" s="1">
        <v>2</v>
      </c>
      <c r="E610" t="s">
        <v>10</v>
      </c>
      <c r="F610" t="s">
        <v>14</v>
      </c>
      <c r="G610" s="3">
        <v>4435.09</v>
      </c>
      <c r="H610" t="str" cm="1">
        <f t="array" ref="H610">_xlfn.IFS(A610&lt;13, "Child", A610&lt;20, "Teenager", A610&lt;40, "Young Adult", A610&lt;60, "Senior Adult", A610&gt;=60, "Elderly")</f>
        <v>Young Adult</v>
      </c>
    </row>
    <row r="611" spans="1:8" x14ac:dyDescent="0.25">
      <c r="A611" s="1">
        <v>30</v>
      </c>
      <c r="B611" t="s">
        <v>8</v>
      </c>
      <c r="C611" s="2">
        <v>37.799999999999997</v>
      </c>
      <c r="D611" s="1">
        <v>2</v>
      </c>
      <c r="E611" t="s">
        <v>9</v>
      </c>
      <c r="F611" t="s">
        <v>11</v>
      </c>
      <c r="G611" s="3">
        <v>39241.440000000002</v>
      </c>
      <c r="H611" t="str" cm="1">
        <f t="array" ref="H611">_xlfn.IFS(A611&lt;13, "Child", A611&lt;20, "Teenager", A611&lt;40, "Young Adult", A611&lt;60, "Senior Adult", A611&gt;=60, "Elderly")</f>
        <v>Young Adult</v>
      </c>
    </row>
    <row r="612" spans="1:8" x14ac:dyDescent="0.25">
      <c r="A612" s="1">
        <v>47</v>
      </c>
      <c r="B612" t="s">
        <v>7</v>
      </c>
      <c r="C612" s="2">
        <v>29.4</v>
      </c>
      <c r="D612" s="1">
        <v>1</v>
      </c>
      <c r="E612" t="s">
        <v>10</v>
      </c>
      <c r="F612" t="s">
        <v>12</v>
      </c>
      <c r="G612" s="3">
        <v>8547.69</v>
      </c>
      <c r="H612" t="str" cm="1">
        <f t="array" ref="H612">_xlfn.IFS(A612&lt;13, "Child", A612&lt;20, "Teenager", A612&lt;40, "Young Adult", A612&lt;60, "Senior Adult", A612&gt;=60, "Elderly")</f>
        <v>Senior Adult</v>
      </c>
    </row>
    <row r="613" spans="1:8" x14ac:dyDescent="0.25">
      <c r="A613" s="1">
        <v>38</v>
      </c>
      <c r="B613" t="s">
        <v>7</v>
      </c>
      <c r="C613" s="2">
        <v>34.799999999999997</v>
      </c>
      <c r="D613" s="1">
        <v>2</v>
      </c>
      <c r="E613" t="s">
        <v>10</v>
      </c>
      <c r="F613" t="s">
        <v>11</v>
      </c>
      <c r="G613" s="3">
        <v>6571.54</v>
      </c>
      <c r="H613" t="str" cm="1">
        <f t="array" ref="H613">_xlfn.IFS(A613&lt;13, "Child", A613&lt;20, "Teenager", A613&lt;40, "Young Adult", A613&lt;60, "Senior Adult", A613&gt;=60, "Elderly")</f>
        <v>Young Adult</v>
      </c>
    </row>
    <row r="614" spans="1:8" x14ac:dyDescent="0.25">
      <c r="A614" s="1">
        <v>18</v>
      </c>
      <c r="B614" t="s">
        <v>7</v>
      </c>
      <c r="C614" s="2">
        <v>33.200000000000003</v>
      </c>
      <c r="D614" s="1">
        <v>0</v>
      </c>
      <c r="E614" t="s">
        <v>10</v>
      </c>
      <c r="F614" t="s">
        <v>14</v>
      </c>
      <c r="G614" s="3">
        <v>2207.6999999999998</v>
      </c>
      <c r="H614" t="str" cm="1">
        <f t="array" ref="H614">_xlfn.IFS(A614&lt;13, "Child", A614&lt;20, "Teenager", A614&lt;40, "Young Adult", A614&lt;60, "Senior Adult", A614&gt;=60, "Elderly")</f>
        <v>Teenager</v>
      </c>
    </row>
    <row r="615" spans="1:8" x14ac:dyDescent="0.25">
      <c r="A615" s="1">
        <v>34</v>
      </c>
      <c r="B615" t="s">
        <v>7</v>
      </c>
      <c r="C615" s="2">
        <v>19</v>
      </c>
      <c r="D615" s="1">
        <v>3</v>
      </c>
      <c r="E615" t="s">
        <v>10</v>
      </c>
      <c r="F615" t="s">
        <v>14</v>
      </c>
      <c r="G615" s="3">
        <v>6753.04</v>
      </c>
      <c r="H615" t="str" cm="1">
        <f t="array" ref="H615">_xlfn.IFS(A615&lt;13, "Child", A615&lt;20, "Teenager", A615&lt;40, "Young Adult", A615&lt;60, "Senior Adult", A615&gt;=60, "Elderly")</f>
        <v>Young Adult</v>
      </c>
    </row>
    <row r="616" spans="1:8" x14ac:dyDescent="0.25">
      <c r="A616" s="1">
        <v>20</v>
      </c>
      <c r="B616" t="s">
        <v>7</v>
      </c>
      <c r="C616" s="2">
        <v>33</v>
      </c>
      <c r="D616" s="1">
        <v>0</v>
      </c>
      <c r="E616" t="s">
        <v>10</v>
      </c>
      <c r="F616" t="s">
        <v>12</v>
      </c>
      <c r="G616" s="3">
        <v>1880.07</v>
      </c>
      <c r="H616" t="str" cm="1">
        <f t="array" ref="H616">_xlfn.IFS(A616&lt;13, "Child", A616&lt;20, "Teenager", A616&lt;40, "Young Adult", A616&lt;60, "Senior Adult", A616&gt;=60, "Elderly")</f>
        <v>Young Adult</v>
      </c>
    </row>
    <row r="617" spans="1:8" x14ac:dyDescent="0.25">
      <c r="A617" s="1">
        <v>47</v>
      </c>
      <c r="B617" t="s">
        <v>7</v>
      </c>
      <c r="C617" s="2">
        <v>36.6</v>
      </c>
      <c r="D617" s="1">
        <v>1</v>
      </c>
      <c r="E617" t="s">
        <v>9</v>
      </c>
      <c r="F617" t="s">
        <v>12</v>
      </c>
      <c r="G617" s="3">
        <v>42969.85</v>
      </c>
      <c r="H617" t="str" cm="1">
        <f t="array" ref="H617">_xlfn.IFS(A617&lt;13, "Child", A617&lt;20, "Teenager", A617&lt;40, "Young Adult", A617&lt;60, "Senior Adult", A617&gt;=60, "Elderly")</f>
        <v>Senior Adult</v>
      </c>
    </row>
    <row r="618" spans="1:8" x14ac:dyDescent="0.25">
      <c r="A618" s="1">
        <v>56</v>
      </c>
      <c r="B618" t="s">
        <v>7</v>
      </c>
      <c r="C618" s="2">
        <v>28.6</v>
      </c>
      <c r="D618" s="1">
        <v>0</v>
      </c>
      <c r="E618" t="s">
        <v>10</v>
      </c>
      <c r="F618" t="s">
        <v>14</v>
      </c>
      <c r="G618" s="3">
        <v>11658.12</v>
      </c>
      <c r="H618" t="str" cm="1">
        <f t="array" ref="H618">_xlfn.IFS(A618&lt;13, "Child", A618&lt;20, "Teenager", A618&lt;40, "Young Adult", A618&lt;60, "Senior Adult", A618&gt;=60, "Elderly")</f>
        <v>Senior Adult</v>
      </c>
    </row>
    <row r="619" spans="1:8" x14ac:dyDescent="0.25">
      <c r="A619" s="1">
        <v>49</v>
      </c>
      <c r="B619" t="s">
        <v>8</v>
      </c>
      <c r="C619" s="2">
        <v>25.6</v>
      </c>
      <c r="D619" s="1">
        <v>2</v>
      </c>
      <c r="E619" t="s">
        <v>9</v>
      </c>
      <c r="F619" t="s">
        <v>11</v>
      </c>
      <c r="G619" s="3">
        <v>23306.55</v>
      </c>
      <c r="H619" t="str" cm="1">
        <f t="array" ref="H619">_xlfn.IFS(A619&lt;13, "Child", A619&lt;20, "Teenager", A619&lt;40, "Young Adult", A619&lt;60, "Senior Adult", A619&gt;=60, "Elderly")</f>
        <v>Senior Adult</v>
      </c>
    </row>
    <row r="620" spans="1:8" x14ac:dyDescent="0.25">
      <c r="A620" s="1">
        <v>19</v>
      </c>
      <c r="B620" t="s">
        <v>7</v>
      </c>
      <c r="C620" s="2">
        <v>33.1</v>
      </c>
      <c r="D620" s="1">
        <v>0</v>
      </c>
      <c r="E620" t="s">
        <v>9</v>
      </c>
      <c r="F620" t="s">
        <v>12</v>
      </c>
      <c r="G620" s="3">
        <v>34439.86</v>
      </c>
      <c r="H620" t="str" cm="1">
        <f t="array" ref="H620">_xlfn.IFS(A620&lt;13, "Child", A620&lt;20, "Teenager", A620&lt;40, "Young Adult", A620&lt;60, "Senior Adult", A620&gt;=60, "Elderly")</f>
        <v>Teenager</v>
      </c>
    </row>
    <row r="621" spans="1:8" x14ac:dyDescent="0.25">
      <c r="A621" s="1">
        <v>55</v>
      </c>
      <c r="B621" t="s">
        <v>7</v>
      </c>
      <c r="C621" s="2">
        <v>37.1</v>
      </c>
      <c r="D621" s="1">
        <v>0</v>
      </c>
      <c r="E621" t="s">
        <v>10</v>
      </c>
      <c r="F621" t="s">
        <v>11</v>
      </c>
      <c r="G621" s="3">
        <v>10713.64</v>
      </c>
      <c r="H621" t="str" cm="1">
        <f t="array" ref="H621">_xlfn.IFS(A621&lt;13, "Child", A621&lt;20, "Teenager", A621&lt;40, "Young Adult", A621&lt;60, "Senior Adult", A621&gt;=60, "Elderly")</f>
        <v>Senior Adult</v>
      </c>
    </row>
    <row r="622" spans="1:8" x14ac:dyDescent="0.25">
      <c r="A622" s="1">
        <v>30</v>
      </c>
      <c r="B622" t="s">
        <v>8</v>
      </c>
      <c r="C622" s="2">
        <v>31.4</v>
      </c>
      <c r="D622" s="1">
        <v>1</v>
      </c>
      <c r="E622" t="s">
        <v>10</v>
      </c>
      <c r="F622" t="s">
        <v>11</v>
      </c>
      <c r="G622" s="3">
        <v>3659.35</v>
      </c>
      <c r="H622" t="str" cm="1">
        <f t="array" ref="H622">_xlfn.IFS(A622&lt;13, "Child", A622&lt;20, "Teenager", A622&lt;40, "Young Adult", A622&lt;60, "Senior Adult", A622&gt;=60, "Elderly")</f>
        <v>Young Adult</v>
      </c>
    </row>
    <row r="623" spans="1:8" x14ac:dyDescent="0.25">
      <c r="A623" s="1">
        <v>37</v>
      </c>
      <c r="B623" t="s">
        <v>8</v>
      </c>
      <c r="C623" s="2">
        <v>34.1</v>
      </c>
      <c r="D623" s="1">
        <v>4</v>
      </c>
      <c r="E623" t="s">
        <v>9</v>
      </c>
      <c r="F623" t="s">
        <v>11</v>
      </c>
      <c r="G623" s="3">
        <v>40182.25</v>
      </c>
      <c r="H623" t="str" cm="1">
        <f t="array" ref="H623">_xlfn.IFS(A623&lt;13, "Child", A623&lt;20, "Teenager", A623&lt;40, "Young Adult", A623&lt;60, "Senior Adult", A623&gt;=60, "Elderly")</f>
        <v>Young Adult</v>
      </c>
    </row>
    <row r="624" spans="1:8" x14ac:dyDescent="0.25">
      <c r="A624" s="1">
        <v>49</v>
      </c>
      <c r="B624" t="s">
        <v>7</v>
      </c>
      <c r="C624" s="2">
        <v>21.3</v>
      </c>
      <c r="D624" s="1">
        <v>1</v>
      </c>
      <c r="E624" t="s">
        <v>10</v>
      </c>
      <c r="F624" t="s">
        <v>11</v>
      </c>
      <c r="G624" s="3">
        <v>9182.17</v>
      </c>
      <c r="H624" t="str" cm="1">
        <f t="array" ref="H624">_xlfn.IFS(A624&lt;13, "Child", A624&lt;20, "Teenager", A624&lt;40, "Young Adult", A624&lt;60, "Senior Adult", A624&gt;=60, "Elderly")</f>
        <v>Senior Adult</v>
      </c>
    </row>
    <row r="625" spans="1:8" x14ac:dyDescent="0.25">
      <c r="A625" s="1">
        <v>18</v>
      </c>
      <c r="B625" t="s">
        <v>8</v>
      </c>
      <c r="C625" s="2">
        <v>33.5</v>
      </c>
      <c r="D625" s="1">
        <v>0</v>
      </c>
      <c r="E625" t="s">
        <v>9</v>
      </c>
      <c r="F625" t="s">
        <v>14</v>
      </c>
      <c r="G625" s="3">
        <v>34617.839999999997</v>
      </c>
      <c r="H625" t="str" cm="1">
        <f t="array" ref="H625">_xlfn.IFS(A625&lt;13, "Child", A625&lt;20, "Teenager", A625&lt;40, "Young Adult", A625&lt;60, "Senior Adult", A625&gt;=60, "Elderly")</f>
        <v>Teenager</v>
      </c>
    </row>
    <row r="626" spans="1:8" x14ac:dyDescent="0.25">
      <c r="A626" s="1">
        <v>59</v>
      </c>
      <c r="B626" t="s">
        <v>8</v>
      </c>
      <c r="C626" s="2">
        <v>28.8</v>
      </c>
      <c r="D626" s="1">
        <v>0</v>
      </c>
      <c r="E626" t="s">
        <v>10</v>
      </c>
      <c r="F626" t="s">
        <v>13</v>
      </c>
      <c r="G626" s="3">
        <v>12129.61</v>
      </c>
      <c r="H626" t="str" cm="1">
        <f t="array" ref="H626">_xlfn.IFS(A626&lt;13, "Child", A626&lt;20, "Teenager", A626&lt;40, "Young Adult", A626&lt;60, "Senior Adult", A626&gt;=60, "Elderly")</f>
        <v>Senior Adult</v>
      </c>
    </row>
    <row r="627" spans="1:8" x14ac:dyDescent="0.25">
      <c r="A627" s="1">
        <v>29</v>
      </c>
      <c r="B627" t="s">
        <v>7</v>
      </c>
      <c r="C627" s="2">
        <v>26</v>
      </c>
      <c r="D627" s="1">
        <v>0</v>
      </c>
      <c r="E627" t="s">
        <v>10</v>
      </c>
      <c r="F627" t="s">
        <v>13</v>
      </c>
      <c r="G627" s="3">
        <v>3736.46</v>
      </c>
      <c r="H627" t="str" cm="1">
        <f t="array" ref="H627">_xlfn.IFS(A627&lt;13, "Child", A627&lt;20, "Teenager", A627&lt;40, "Young Adult", A627&lt;60, "Senior Adult", A627&gt;=60, "Elderly")</f>
        <v>Young Adult</v>
      </c>
    </row>
    <row r="628" spans="1:8" x14ac:dyDescent="0.25">
      <c r="A628" s="1">
        <v>36</v>
      </c>
      <c r="B628" t="s">
        <v>8</v>
      </c>
      <c r="C628" s="2">
        <v>28.9</v>
      </c>
      <c r="D628" s="1">
        <v>3</v>
      </c>
      <c r="E628" t="s">
        <v>10</v>
      </c>
      <c r="F628" t="s">
        <v>14</v>
      </c>
      <c r="G628" s="3">
        <v>6748.59</v>
      </c>
      <c r="H628" t="str" cm="1">
        <f t="array" ref="H628">_xlfn.IFS(A628&lt;13, "Child", A628&lt;20, "Teenager", A628&lt;40, "Young Adult", A628&lt;60, "Senior Adult", A628&gt;=60, "Elderly")</f>
        <v>Young Adult</v>
      </c>
    </row>
    <row r="629" spans="1:8" x14ac:dyDescent="0.25">
      <c r="A629" s="1">
        <v>33</v>
      </c>
      <c r="B629" t="s">
        <v>8</v>
      </c>
      <c r="C629" s="2">
        <v>42.5</v>
      </c>
      <c r="D629" s="1">
        <v>1</v>
      </c>
      <c r="E629" t="s">
        <v>10</v>
      </c>
      <c r="F629" t="s">
        <v>12</v>
      </c>
      <c r="G629" s="3">
        <v>11326.71</v>
      </c>
      <c r="H629" t="str" cm="1">
        <f t="array" ref="H629">_xlfn.IFS(A629&lt;13, "Child", A629&lt;20, "Teenager", A629&lt;40, "Young Adult", A629&lt;60, "Senior Adult", A629&gt;=60, "Elderly")</f>
        <v>Young Adult</v>
      </c>
    </row>
    <row r="630" spans="1:8" x14ac:dyDescent="0.25">
      <c r="A630" s="1">
        <v>58</v>
      </c>
      <c r="B630" t="s">
        <v>8</v>
      </c>
      <c r="C630" s="2">
        <v>38</v>
      </c>
      <c r="D630" s="1">
        <v>0</v>
      </c>
      <c r="E630" t="s">
        <v>10</v>
      </c>
      <c r="F630" t="s">
        <v>11</v>
      </c>
      <c r="G630" s="3">
        <v>11365.95</v>
      </c>
      <c r="H630" t="str" cm="1">
        <f t="array" ref="H630">_xlfn.IFS(A630&lt;13, "Child", A630&lt;20, "Teenager", A630&lt;40, "Young Adult", A630&lt;60, "Senior Adult", A630&gt;=60, "Elderly")</f>
        <v>Senior Adult</v>
      </c>
    </row>
    <row r="631" spans="1:8" x14ac:dyDescent="0.25">
      <c r="A631" s="1">
        <v>44</v>
      </c>
      <c r="B631" t="s">
        <v>7</v>
      </c>
      <c r="C631" s="2">
        <v>39</v>
      </c>
      <c r="D631" s="1">
        <v>0</v>
      </c>
      <c r="E631" t="s">
        <v>9</v>
      </c>
      <c r="F631" t="s">
        <v>13</v>
      </c>
      <c r="G631" s="3">
        <v>42983.46</v>
      </c>
      <c r="H631" t="str" cm="1">
        <f t="array" ref="H631">_xlfn.IFS(A631&lt;13, "Child", A631&lt;20, "Teenager", A631&lt;40, "Young Adult", A631&lt;60, "Senior Adult", A631&gt;=60, "Elderly")</f>
        <v>Senior Adult</v>
      </c>
    </row>
    <row r="632" spans="1:8" x14ac:dyDescent="0.25">
      <c r="A632" s="1">
        <v>53</v>
      </c>
      <c r="B632" t="s">
        <v>8</v>
      </c>
      <c r="C632" s="2">
        <v>36.1</v>
      </c>
      <c r="D632" s="1">
        <v>1</v>
      </c>
      <c r="E632" t="s">
        <v>10</v>
      </c>
      <c r="F632" t="s">
        <v>11</v>
      </c>
      <c r="G632" s="3">
        <v>10085.85</v>
      </c>
      <c r="H632" t="str" cm="1">
        <f t="array" ref="H632">_xlfn.IFS(A632&lt;13, "Child", A632&lt;20, "Teenager", A632&lt;40, "Young Adult", A632&lt;60, "Senior Adult", A632&gt;=60, "Elderly")</f>
        <v>Senior Adult</v>
      </c>
    </row>
    <row r="633" spans="1:8" x14ac:dyDescent="0.25">
      <c r="A633" s="1">
        <v>24</v>
      </c>
      <c r="B633" t="s">
        <v>8</v>
      </c>
      <c r="C633" s="2">
        <v>29.3</v>
      </c>
      <c r="D633" s="1">
        <v>0</v>
      </c>
      <c r="E633" t="s">
        <v>10</v>
      </c>
      <c r="F633" t="s">
        <v>11</v>
      </c>
      <c r="G633" s="3">
        <v>1977.82</v>
      </c>
      <c r="H633" t="str" cm="1">
        <f t="array" ref="H633">_xlfn.IFS(A633&lt;13, "Child", A633&lt;20, "Teenager", A633&lt;40, "Young Adult", A633&lt;60, "Senior Adult", A633&gt;=60, "Elderly")</f>
        <v>Young Adult</v>
      </c>
    </row>
    <row r="634" spans="1:8" x14ac:dyDescent="0.25">
      <c r="A634" s="1">
        <v>29</v>
      </c>
      <c r="B634" t="s">
        <v>7</v>
      </c>
      <c r="C634" s="2">
        <v>35.5</v>
      </c>
      <c r="D634" s="1">
        <v>0</v>
      </c>
      <c r="E634" t="s">
        <v>10</v>
      </c>
      <c r="F634" t="s">
        <v>12</v>
      </c>
      <c r="G634" s="3">
        <v>3366.67</v>
      </c>
      <c r="H634" t="str" cm="1">
        <f t="array" ref="H634">_xlfn.IFS(A634&lt;13, "Child", A634&lt;20, "Teenager", A634&lt;40, "Young Adult", A634&lt;60, "Senior Adult", A634&gt;=60, "Elderly")</f>
        <v>Young Adult</v>
      </c>
    </row>
    <row r="635" spans="1:8" x14ac:dyDescent="0.25">
      <c r="A635" s="1">
        <v>40</v>
      </c>
      <c r="B635" t="s">
        <v>8</v>
      </c>
      <c r="C635" s="2">
        <v>22.7</v>
      </c>
      <c r="D635" s="1">
        <v>2</v>
      </c>
      <c r="E635" t="s">
        <v>10</v>
      </c>
      <c r="F635" t="s">
        <v>14</v>
      </c>
      <c r="G635" s="3">
        <v>7173.36</v>
      </c>
      <c r="H635" t="str" cm="1">
        <f t="array" ref="H635">_xlfn.IFS(A635&lt;13, "Child", A635&lt;20, "Teenager", A635&lt;40, "Young Adult", A635&lt;60, "Senior Adult", A635&gt;=60, "Elderly")</f>
        <v>Senior Adult</v>
      </c>
    </row>
    <row r="636" spans="1:8" x14ac:dyDescent="0.25">
      <c r="A636" s="1">
        <v>51</v>
      </c>
      <c r="B636" t="s">
        <v>8</v>
      </c>
      <c r="C636" s="2">
        <v>39.700000000000003</v>
      </c>
      <c r="D636" s="1">
        <v>1</v>
      </c>
      <c r="E636" t="s">
        <v>10</v>
      </c>
      <c r="F636" t="s">
        <v>11</v>
      </c>
      <c r="G636" s="3">
        <v>9391.35</v>
      </c>
      <c r="H636" t="str" cm="1">
        <f t="array" ref="H636">_xlfn.IFS(A636&lt;13, "Child", A636&lt;20, "Teenager", A636&lt;40, "Young Adult", A636&lt;60, "Senior Adult", A636&gt;=60, "Elderly")</f>
        <v>Senior Adult</v>
      </c>
    </row>
    <row r="637" spans="1:8" x14ac:dyDescent="0.25">
      <c r="A637" s="1">
        <v>64</v>
      </c>
      <c r="B637" t="s">
        <v>8</v>
      </c>
      <c r="C637" s="2">
        <v>38.200000000000003</v>
      </c>
      <c r="D637" s="1">
        <v>0</v>
      </c>
      <c r="E637" t="s">
        <v>10</v>
      </c>
      <c r="F637" t="s">
        <v>14</v>
      </c>
      <c r="G637" s="3">
        <v>14410.93</v>
      </c>
      <c r="H637" t="str" cm="1">
        <f t="array" ref="H637">_xlfn.IFS(A637&lt;13, "Child", A637&lt;20, "Teenager", A637&lt;40, "Young Adult", A637&lt;60, "Senior Adult", A637&gt;=60, "Elderly")</f>
        <v>Elderly</v>
      </c>
    </row>
    <row r="638" spans="1:8" x14ac:dyDescent="0.25">
      <c r="A638" s="1">
        <v>19</v>
      </c>
      <c r="B638" t="s">
        <v>7</v>
      </c>
      <c r="C638" s="2">
        <v>24.5</v>
      </c>
      <c r="D638" s="1">
        <v>1</v>
      </c>
      <c r="E638" t="s">
        <v>10</v>
      </c>
      <c r="F638" t="s">
        <v>13</v>
      </c>
      <c r="G638" s="3">
        <v>2709.11</v>
      </c>
      <c r="H638" t="str" cm="1">
        <f t="array" ref="H638">_xlfn.IFS(A638&lt;13, "Child", A638&lt;20, "Teenager", A638&lt;40, "Young Adult", A638&lt;60, "Senior Adult", A638&gt;=60, "Elderly")</f>
        <v>Teenager</v>
      </c>
    </row>
    <row r="639" spans="1:8" x14ac:dyDescent="0.25">
      <c r="A639" s="1">
        <v>35</v>
      </c>
      <c r="B639" t="s">
        <v>7</v>
      </c>
      <c r="C639" s="2">
        <v>38.1</v>
      </c>
      <c r="D639" s="1">
        <v>2</v>
      </c>
      <c r="E639" t="s">
        <v>10</v>
      </c>
      <c r="F639" t="s">
        <v>14</v>
      </c>
      <c r="G639" s="3">
        <v>24915.05</v>
      </c>
      <c r="H639" t="str" cm="1">
        <f t="array" ref="H639">_xlfn.IFS(A639&lt;13, "Child", A639&lt;20, "Teenager", A639&lt;40, "Young Adult", A639&lt;60, "Senior Adult", A639&gt;=60, "Elderly")</f>
        <v>Young Adult</v>
      </c>
    </row>
    <row r="640" spans="1:8" x14ac:dyDescent="0.25">
      <c r="A640" s="1">
        <v>39</v>
      </c>
      <c r="B640" t="s">
        <v>8</v>
      </c>
      <c r="C640" s="2">
        <v>26.4</v>
      </c>
      <c r="D640" s="1">
        <v>0</v>
      </c>
      <c r="E640" t="s">
        <v>9</v>
      </c>
      <c r="F640" t="s">
        <v>14</v>
      </c>
      <c r="G640" s="3">
        <v>20149.32</v>
      </c>
      <c r="H640" t="str" cm="1">
        <f t="array" ref="H640">_xlfn.IFS(A640&lt;13, "Child", A640&lt;20, "Teenager", A640&lt;40, "Young Adult", A640&lt;60, "Senior Adult", A640&gt;=60, "Elderly")</f>
        <v>Young Adult</v>
      </c>
    </row>
    <row r="641" spans="1:8" x14ac:dyDescent="0.25">
      <c r="A641" s="1">
        <v>56</v>
      </c>
      <c r="B641" t="s">
        <v>8</v>
      </c>
      <c r="C641" s="2">
        <v>33.700000000000003</v>
      </c>
      <c r="D641" s="1">
        <v>4</v>
      </c>
      <c r="E641" t="s">
        <v>10</v>
      </c>
      <c r="F641" t="s">
        <v>12</v>
      </c>
      <c r="G641" s="3">
        <v>12949.16</v>
      </c>
      <c r="H641" t="str" cm="1">
        <f t="array" ref="H641">_xlfn.IFS(A641&lt;13, "Child", A641&lt;20, "Teenager", A641&lt;40, "Young Adult", A641&lt;60, "Senior Adult", A641&gt;=60, "Elderly")</f>
        <v>Senior Adult</v>
      </c>
    </row>
    <row r="642" spans="1:8" x14ac:dyDescent="0.25">
      <c r="A642" s="1">
        <v>33</v>
      </c>
      <c r="B642" t="s">
        <v>8</v>
      </c>
      <c r="C642" s="2">
        <v>42.4</v>
      </c>
      <c r="D642" s="1">
        <v>5</v>
      </c>
      <c r="E642" t="s">
        <v>10</v>
      </c>
      <c r="F642" t="s">
        <v>11</v>
      </c>
      <c r="G642" s="3">
        <v>6666.24</v>
      </c>
      <c r="H642" t="str" cm="1">
        <f t="array" ref="H642">_xlfn.IFS(A642&lt;13, "Child", A642&lt;20, "Teenager", A642&lt;40, "Young Adult", A642&lt;60, "Senior Adult", A642&gt;=60, "Elderly")</f>
        <v>Young Adult</v>
      </c>
    </row>
    <row r="643" spans="1:8" x14ac:dyDescent="0.25">
      <c r="A643" s="1">
        <v>42</v>
      </c>
      <c r="B643" t="s">
        <v>8</v>
      </c>
      <c r="C643" s="2">
        <v>28.3</v>
      </c>
      <c r="D643" s="1">
        <v>3</v>
      </c>
      <c r="E643" t="s">
        <v>9</v>
      </c>
      <c r="F643" t="s">
        <v>13</v>
      </c>
      <c r="G643" s="3">
        <v>32787.46</v>
      </c>
      <c r="H643" t="str" cm="1">
        <f t="array" ref="H643">_xlfn.IFS(A643&lt;13, "Child", A643&lt;20, "Teenager", A643&lt;40, "Young Adult", A643&lt;60, "Senior Adult", A643&gt;=60, "Elderly")</f>
        <v>Senior Adult</v>
      </c>
    </row>
    <row r="644" spans="1:8" x14ac:dyDescent="0.25">
      <c r="A644" s="1">
        <v>61</v>
      </c>
      <c r="B644" t="s">
        <v>8</v>
      </c>
      <c r="C644" s="2">
        <v>33.9</v>
      </c>
      <c r="D644" s="1">
        <v>0</v>
      </c>
      <c r="E644" t="s">
        <v>10</v>
      </c>
      <c r="F644" t="s">
        <v>14</v>
      </c>
      <c r="G644" s="3">
        <v>13143.86</v>
      </c>
      <c r="H644" t="str" cm="1">
        <f t="array" ref="H644">_xlfn.IFS(A644&lt;13, "Child", A644&lt;20, "Teenager", A644&lt;40, "Young Adult", A644&lt;60, "Senior Adult", A644&gt;=60, "Elderly")</f>
        <v>Elderly</v>
      </c>
    </row>
    <row r="645" spans="1:8" x14ac:dyDescent="0.25">
      <c r="A645" s="1">
        <v>23</v>
      </c>
      <c r="B645" t="s">
        <v>7</v>
      </c>
      <c r="C645" s="2">
        <v>35</v>
      </c>
      <c r="D645" s="1">
        <v>3</v>
      </c>
      <c r="E645" t="s">
        <v>10</v>
      </c>
      <c r="F645" t="s">
        <v>13</v>
      </c>
      <c r="G645" s="3">
        <v>4466.62</v>
      </c>
      <c r="H645" t="str" cm="1">
        <f t="array" ref="H645">_xlfn.IFS(A645&lt;13, "Child", A645&lt;20, "Teenager", A645&lt;40, "Young Adult", A645&lt;60, "Senior Adult", A645&gt;=60, "Elderly")</f>
        <v>Young Adult</v>
      </c>
    </row>
    <row r="646" spans="1:8" x14ac:dyDescent="0.25">
      <c r="A646" s="1">
        <v>43</v>
      </c>
      <c r="B646" t="s">
        <v>8</v>
      </c>
      <c r="C646" s="2">
        <v>35.299999999999997</v>
      </c>
      <c r="D646" s="1">
        <v>2</v>
      </c>
      <c r="E646" t="s">
        <v>10</v>
      </c>
      <c r="F646" t="s">
        <v>12</v>
      </c>
      <c r="G646" s="3">
        <v>18806.150000000001</v>
      </c>
      <c r="H646" t="str" cm="1">
        <f t="array" ref="H646">_xlfn.IFS(A646&lt;13, "Child", A646&lt;20, "Teenager", A646&lt;40, "Young Adult", A646&lt;60, "Senior Adult", A646&gt;=60, "Elderly")</f>
        <v>Senior Adult</v>
      </c>
    </row>
    <row r="647" spans="1:8" x14ac:dyDescent="0.25">
      <c r="A647" s="1">
        <v>48</v>
      </c>
      <c r="B647" t="s">
        <v>8</v>
      </c>
      <c r="C647" s="2">
        <v>30.8</v>
      </c>
      <c r="D647" s="1">
        <v>3</v>
      </c>
      <c r="E647" t="s">
        <v>10</v>
      </c>
      <c r="F647" t="s">
        <v>14</v>
      </c>
      <c r="G647" s="3">
        <v>10141.14</v>
      </c>
      <c r="H647" t="str" cm="1">
        <f t="array" ref="H647">_xlfn.IFS(A647&lt;13, "Child", A647&lt;20, "Teenager", A647&lt;40, "Young Adult", A647&lt;60, "Senior Adult", A647&gt;=60, "Elderly")</f>
        <v>Senior Adult</v>
      </c>
    </row>
    <row r="648" spans="1:8" x14ac:dyDescent="0.25">
      <c r="A648" s="1">
        <v>39</v>
      </c>
      <c r="B648" t="s">
        <v>8</v>
      </c>
      <c r="C648" s="2">
        <v>26.2</v>
      </c>
      <c r="D648" s="1">
        <v>1</v>
      </c>
      <c r="E648" t="s">
        <v>10</v>
      </c>
      <c r="F648" t="s">
        <v>13</v>
      </c>
      <c r="G648" s="3">
        <v>6123.57</v>
      </c>
      <c r="H648" t="str" cm="1">
        <f t="array" ref="H648">_xlfn.IFS(A648&lt;13, "Child", A648&lt;20, "Teenager", A648&lt;40, "Young Adult", A648&lt;60, "Senior Adult", A648&gt;=60, "Elderly")</f>
        <v>Young Adult</v>
      </c>
    </row>
    <row r="649" spans="1:8" x14ac:dyDescent="0.25">
      <c r="A649" s="1">
        <v>40</v>
      </c>
      <c r="B649" t="s">
        <v>7</v>
      </c>
      <c r="C649" s="2">
        <v>23.4</v>
      </c>
      <c r="D649" s="1">
        <v>3</v>
      </c>
      <c r="E649" t="s">
        <v>10</v>
      </c>
      <c r="F649" t="s">
        <v>14</v>
      </c>
      <c r="G649" s="3">
        <v>8252.2800000000007</v>
      </c>
      <c r="H649" t="str" cm="1">
        <f t="array" ref="H649">_xlfn.IFS(A649&lt;13, "Child", A649&lt;20, "Teenager", A649&lt;40, "Young Adult", A649&lt;60, "Senior Adult", A649&gt;=60, "Elderly")</f>
        <v>Senior Adult</v>
      </c>
    </row>
    <row r="650" spans="1:8" x14ac:dyDescent="0.25">
      <c r="A650" s="1">
        <v>18</v>
      </c>
      <c r="B650" t="s">
        <v>8</v>
      </c>
      <c r="C650" s="2">
        <v>28.5</v>
      </c>
      <c r="D650" s="1">
        <v>0</v>
      </c>
      <c r="E650" t="s">
        <v>10</v>
      </c>
      <c r="F650" t="s">
        <v>14</v>
      </c>
      <c r="G650" s="3">
        <v>1712.23</v>
      </c>
      <c r="H650" t="str" cm="1">
        <f t="array" ref="H650">_xlfn.IFS(A650&lt;13, "Child", A650&lt;20, "Teenager", A650&lt;40, "Young Adult", A650&lt;60, "Senior Adult", A650&gt;=60, "Elderly")</f>
        <v>Teenager</v>
      </c>
    </row>
    <row r="651" spans="1:8" x14ac:dyDescent="0.25">
      <c r="A651" s="1">
        <v>58</v>
      </c>
      <c r="B651" t="s">
        <v>7</v>
      </c>
      <c r="C651" s="2">
        <v>33</v>
      </c>
      <c r="D651" s="1">
        <v>0</v>
      </c>
      <c r="E651" t="s">
        <v>10</v>
      </c>
      <c r="F651" t="s">
        <v>14</v>
      </c>
      <c r="G651" s="3">
        <v>12430.95</v>
      </c>
      <c r="H651" t="str" cm="1">
        <f t="array" ref="H651">_xlfn.IFS(A651&lt;13, "Child", A651&lt;20, "Teenager", A651&lt;40, "Young Adult", A651&lt;60, "Senior Adult", A651&gt;=60, "Elderly")</f>
        <v>Senior Adult</v>
      </c>
    </row>
    <row r="652" spans="1:8" x14ac:dyDescent="0.25">
      <c r="A652" s="1">
        <v>49</v>
      </c>
      <c r="B652" t="s">
        <v>7</v>
      </c>
      <c r="C652" s="2">
        <v>42.7</v>
      </c>
      <c r="D652" s="1">
        <v>2</v>
      </c>
      <c r="E652" t="s">
        <v>10</v>
      </c>
      <c r="F652" t="s">
        <v>12</v>
      </c>
      <c r="G652" s="3">
        <v>9800.89</v>
      </c>
      <c r="H652" t="str" cm="1">
        <f t="array" ref="H652">_xlfn.IFS(A652&lt;13, "Child", A652&lt;20, "Teenager", A652&lt;40, "Young Adult", A652&lt;60, "Senior Adult", A652&gt;=60, "Elderly")</f>
        <v>Senior Adult</v>
      </c>
    </row>
    <row r="653" spans="1:8" x14ac:dyDescent="0.25">
      <c r="A653" s="1">
        <v>53</v>
      </c>
      <c r="B653" t="s">
        <v>7</v>
      </c>
      <c r="C653" s="2">
        <v>39.6</v>
      </c>
      <c r="D653" s="1">
        <v>1</v>
      </c>
      <c r="E653" t="s">
        <v>10</v>
      </c>
      <c r="F653" t="s">
        <v>12</v>
      </c>
      <c r="G653" s="3">
        <v>10579.71</v>
      </c>
      <c r="H653" t="str" cm="1">
        <f t="array" ref="H653">_xlfn.IFS(A653&lt;13, "Child", A653&lt;20, "Teenager", A653&lt;40, "Young Adult", A653&lt;60, "Senior Adult", A653&gt;=60, "Elderly")</f>
        <v>Senior Adult</v>
      </c>
    </row>
    <row r="654" spans="1:8" x14ac:dyDescent="0.25">
      <c r="A654" s="1">
        <v>48</v>
      </c>
      <c r="B654" t="s">
        <v>7</v>
      </c>
      <c r="C654" s="2">
        <v>31.1</v>
      </c>
      <c r="D654" s="1">
        <v>0</v>
      </c>
      <c r="E654" t="s">
        <v>10</v>
      </c>
      <c r="F654" t="s">
        <v>12</v>
      </c>
      <c r="G654" s="3">
        <v>8280.6200000000008</v>
      </c>
      <c r="H654" t="str" cm="1">
        <f t="array" ref="H654">_xlfn.IFS(A654&lt;13, "Child", A654&lt;20, "Teenager", A654&lt;40, "Young Adult", A654&lt;60, "Senior Adult", A654&gt;=60, "Elderly")</f>
        <v>Senior Adult</v>
      </c>
    </row>
    <row r="655" spans="1:8" x14ac:dyDescent="0.25">
      <c r="A655" s="1">
        <v>45</v>
      </c>
      <c r="B655" t="s">
        <v>7</v>
      </c>
      <c r="C655" s="2">
        <v>36.299999999999997</v>
      </c>
      <c r="D655" s="1">
        <v>2</v>
      </c>
      <c r="E655" t="s">
        <v>10</v>
      </c>
      <c r="F655" t="s">
        <v>12</v>
      </c>
      <c r="G655" s="3">
        <v>8527.5300000000007</v>
      </c>
      <c r="H655" t="str" cm="1">
        <f t="array" ref="H655">_xlfn.IFS(A655&lt;13, "Child", A655&lt;20, "Teenager", A655&lt;40, "Young Adult", A655&lt;60, "Senior Adult", A655&gt;=60, "Elderly")</f>
        <v>Senior Adult</v>
      </c>
    </row>
    <row r="656" spans="1:8" x14ac:dyDescent="0.25">
      <c r="A656" s="1">
        <v>59</v>
      </c>
      <c r="B656" t="s">
        <v>7</v>
      </c>
      <c r="C656" s="2">
        <v>35.200000000000003</v>
      </c>
      <c r="D656" s="1">
        <v>0</v>
      </c>
      <c r="E656" t="s">
        <v>10</v>
      </c>
      <c r="F656" t="s">
        <v>12</v>
      </c>
      <c r="G656" s="3">
        <v>12244.53</v>
      </c>
      <c r="H656" t="str" cm="1">
        <f t="array" ref="H656">_xlfn.IFS(A656&lt;13, "Child", A656&lt;20, "Teenager", A656&lt;40, "Young Adult", A656&lt;60, "Senior Adult", A656&gt;=60, "Elderly")</f>
        <v>Senior Adult</v>
      </c>
    </row>
    <row r="657" spans="1:8" x14ac:dyDescent="0.25">
      <c r="A657" s="1">
        <v>52</v>
      </c>
      <c r="B657" t="s">
        <v>7</v>
      </c>
      <c r="C657" s="2">
        <v>25.3</v>
      </c>
      <c r="D657" s="1">
        <v>2</v>
      </c>
      <c r="E657" t="s">
        <v>9</v>
      </c>
      <c r="F657" t="s">
        <v>12</v>
      </c>
      <c r="G657" s="3">
        <v>24667.42</v>
      </c>
      <c r="H657" t="str" cm="1">
        <f t="array" ref="H657">_xlfn.IFS(A657&lt;13, "Child", A657&lt;20, "Teenager", A657&lt;40, "Young Adult", A657&lt;60, "Senior Adult", A657&gt;=60, "Elderly")</f>
        <v>Senior Adult</v>
      </c>
    </row>
    <row r="658" spans="1:8" x14ac:dyDescent="0.25">
      <c r="A658" s="1">
        <v>26</v>
      </c>
      <c r="B658" t="s">
        <v>7</v>
      </c>
      <c r="C658" s="2">
        <v>42.4</v>
      </c>
      <c r="D658" s="1">
        <v>1</v>
      </c>
      <c r="E658" t="s">
        <v>10</v>
      </c>
      <c r="F658" t="s">
        <v>11</v>
      </c>
      <c r="G658" s="3">
        <v>3410.32</v>
      </c>
      <c r="H658" t="str" cm="1">
        <f t="array" ref="H658">_xlfn.IFS(A658&lt;13, "Child", A658&lt;20, "Teenager", A658&lt;40, "Young Adult", A658&lt;60, "Senior Adult", A658&gt;=60, "Elderly")</f>
        <v>Young Adult</v>
      </c>
    </row>
    <row r="659" spans="1:8" x14ac:dyDescent="0.25">
      <c r="A659" s="1">
        <v>27</v>
      </c>
      <c r="B659" t="s">
        <v>8</v>
      </c>
      <c r="C659" s="2">
        <v>33.200000000000003</v>
      </c>
      <c r="D659" s="1">
        <v>2</v>
      </c>
      <c r="E659" t="s">
        <v>10</v>
      </c>
      <c r="F659" t="s">
        <v>13</v>
      </c>
      <c r="G659" s="3">
        <v>4058.71</v>
      </c>
      <c r="H659" t="str" cm="1">
        <f t="array" ref="H659">_xlfn.IFS(A659&lt;13, "Child", A659&lt;20, "Teenager", A659&lt;40, "Young Adult", A659&lt;60, "Senior Adult", A659&gt;=60, "Elderly")</f>
        <v>Young Adult</v>
      </c>
    </row>
    <row r="660" spans="1:8" x14ac:dyDescent="0.25">
      <c r="A660" s="1">
        <v>48</v>
      </c>
      <c r="B660" t="s">
        <v>7</v>
      </c>
      <c r="C660" s="2">
        <v>35.9</v>
      </c>
      <c r="D660" s="1">
        <v>1</v>
      </c>
      <c r="E660" t="s">
        <v>10</v>
      </c>
      <c r="F660" t="s">
        <v>14</v>
      </c>
      <c r="G660" s="3">
        <v>26392.26</v>
      </c>
      <c r="H660" t="str" cm="1">
        <f t="array" ref="H660">_xlfn.IFS(A660&lt;13, "Child", A660&lt;20, "Teenager", A660&lt;40, "Young Adult", A660&lt;60, "Senior Adult", A660&gt;=60, "Elderly")</f>
        <v>Senior Adult</v>
      </c>
    </row>
    <row r="661" spans="1:8" x14ac:dyDescent="0.25">
      <c r="A661" s="1">
        <v>57</v>
      </c>
      <c r="B661" t="s">
        <v>7</v>
      </c>
      <c r="C661" s="2">
        <v>28.8</v>
      </c>
      <c r="D661" s="1">
        <v>4</v>
      </c>
      <c r="E661" t="s">
        <v>10</v>
      </c>
      <c r="F661" t="s">
        <v>14</v>
      </c>
      <c r="G661" s="3">
        <v>14394.4</v>
      </c>
      <c r="H661" t="str" cm="1">
        <f t="array" ref="H661">_xlfn.IFS(A661&lt;13, "Child", A661&lt;20, "Teenager", A661&lt;40, "Young Adult", A661&lt;60, "Senior Adult", A661&gt;=60, "Elderly")</f>
        <v>Senior Adult</v>
      </c>
    </row>
    <row r="662" spans="1:8" x14ac:dyDescent="0.25">
      <c r="A662" s="1">
        <v>37</v>
      </c>
      <c r="B662" t="s">
        <v>8</v>
      </c>
      <c r="C662" s="2">
        <v>46.5</v>
      </c>
      <c r="D662" s="1">
        <v>3</v>
      </c>
      <c r="E662" t="s">
        <v>10</v>
      </c>
      <c r="F662" t="s">
        <v>12</v>
      </c>
      <c r="G662" s="3">
        <v>6435.62</v>
      </c>
      <c r="H662" t="str" cm="1">
        <f t="array" ref="H662">_xlfn.IFS(A662&lt;13, "Child", A662&lt;20, "Teenager", A662&lt;40, "Young Adult", A662&lt;60, "Senior Adult", A662&gt;=60, "Elderly")</f>
        <v>Young Adult</v>
      </c>
    </row>
    <row r="663" spans="1:8" x14ac:dyDescent="0.25">
      <c r="A663" s="1">
        <v>57</v>
      </c>
      <c r="B663" t="s">
        <v>7</v>
      </c>
      <c r="C663" s="2">
        <v>24</v>
      </c>
      <c r="D663" s="1">
        <v>1</v>
      </c>
      <c r="E663" t="s">
        <v>10</v>
      </c>
      <c r="F663" t="s">
        <v>12</v>
      </c>
      <c r="G663" s="3">
        <v>22192.44</v>
      </c>
      <c r="H663" t="str" cm="1">
        <f t="array" ref="H663">_xlfn.IFS(A663&lt;13, "Child", A663&lt;20, "Teenager", A663&lt;40, "Young Adult", A663&lt;60, "Senior Adult", A663&gt;=60, "Elderly")</f>
        <v>Senior Adult</v>
      </c>
    </row>
    <row r="664" spans="1:8" x14ac:dyDescent="0.25">
      <c r="A664" s="1">
        <v>32</v>
      </c>
      <c r="B664" t="s">
        <v>7</v>
      </c>
      <c r="C664" s="2">
        <v>31.5</v>
      </c>
      <c r="D664" s="1">
        <v>1</v>
      </c>
      <c r="E664" t="s">
        <v>10</v>
      </c>
      <c r="F664" t="s">
        <v>14</v>
      </c>
      <c r="G664" s="3">
        <v>5148.55</v>
      </c>
      <c r="H664" t="str" cm="1">
        <f t="array" ref="H664">_xlfn.IFS(A664&lt;13, "Child", A664&lt;20, "Teenager", A664&lt;40, "Young Adult", A664&lt;60, "Senior Adult", A664&gt;=60, "Elderly")</f>
        <v>Young Adult</v>
      </c>
    </row>
    <row r="665" spans="1:8" x14ac:dyDescent="0.25">
      <c r="A665" s="1">
        <v>18</v>
      </c>
      <c r="B665" t="s">
        <v>8</v>
      </c>
      <c r="C665" s="2">
        <v>33.700000000000003</v>
      </c>
      <c r="D665" s="1">
        <v>0</v>
      </c>
      <c r="E665" t="s">
        <v>10</v>
      </c>
      <c r="F665" t="s">
        <v>12</v>
      </c>
      <c r="G665" s="3">
        <v>1136.4000000000001</v>
      </c>
      <c r="H665" t="str" cm="1">
        <f t="array" ref="H665">_xlfn.IFS(A665&lt;13, "Child", A665&lt;20, "Teenager", A665&lt;40, "Young Adult", A665&lt;60, "Senior Adult", A665&gt;=60, "Elderly")</f>
        <v>Teenager</v>
      </c>
    </row>
    <row r="666" spans="1:8" x14ac:dyDescent="0.25">
      <c r="A666" s="1">
        <v>64</v>
      </c>
      <c r="B666" t="s">
        <v>7</v>
      </c>
      <c r="C666" s="2">
        <v>23</v>
      </c>
      <c r="D666" s="1">
        <v>0</v>
      </c>
      <c r="E666" t="s">
        <v>9</v>
      </c>
      <c r="F666" t="s">
        <v>12</v>
      </c>
      <c r="G666" s="3">
        <v>27037.91</v>
      </c>
      <c r="H666" t="str" cm="1">
        <f t="array" ref="H666">_xlfn.IFS(A666&lt;13, "Child", A666&lt;20, "Teenager", A666&lt;40, "Young Adult", A666&lt;60, "Senior Adult", A666&gt;=60, "Elderly")</f>
        <v>Elderly</v>
      </c>
    </row>
    <row r="667" spans="1:8" x14ac:dyDescent="0.25">
      <c r="A667" s="1">
        <v>43</v>
      </c>
      <c r="B667" t="s">
        <v>8</v>
      </c>
      <c r="C667" s="2">
        <v>38.1</v>
      </c>
      <c r="D667" s="1">
        <v>2</v>
      </c>
      <c r="E667" t="s">
        <v>9</v>
      </c>
      <c r="F667" t="s">
        <v>12</v>
      </c>
      <c r="G667" s="3">
        <v>42560.43</v>
      </c>
      <c r="H667" t="str" cm="1">
        <f t="array" ref="H667">_xlfn.IFS(A667&lt;13, "Child", A667&lt;20, "Teenager", A667&lt;40, "Young Adult", A667&lt;60, "Senior Adult", A667&gt;=60, "Elderly")</f>
        <v>Senior Adult</v>
      </c>
    </row>
    <row r="668" spans="1:8" x14ac:dyDescent="0.25">
      <c r="A668" s="1">
        <v>49</v>
      </c>
      <c r="B668" t="s">
        <v>8</v>
      </c>
      <c r="C668" s="2">
        <v>28.7</v>
      </c>
      <c r="D668" s="1">
        <v>1</v>
      </c>
      <c r="E668" t="s">
        <v>10</v>
      </c>
      <c r="F668" t="s">
        <v>11</v>
      </c>
      <c r="G668" s="3">
        <v>8703.4599999999991</v>
      </c>
      <c r="H668" t="str" cm="1">
        <f t="array" ref="H668">_xlfn.IFS(A668&lt;13, "Child", A668&lt;20, "Teenager", A668&lt;40, "Young Adult", A668&lt;60, "Senior Adult", A668&gt;=60, "Elderly")</f>
        <v>Senior Adult</v>
      </c>
    </row>
    <row r="669" spans="1:8" x14ac:dyDescent="0.25">
      <c r="A669" s="1">
        <v>40</v>
      </c>
      <c r="B669" t="s">
        <v>7</v>
      </c>
      <c r="C669" s="2">
        <v>32.799999999999997</v>
      </c>
      <c r="D669" s="1">
        <v>2</v>
      </c>
      <c r="E669" t="s">
        <v>9</v>
      </c>
      <c r="F669" t="s">
        <v>13</v>
      </c>
      <c r="G669" s="3">
        <v>40003.33</v>
      </c>
      <c r="H669" t="str" cm="1">
        <f t="array" ref="H669">_xlfn.IFS(A669&lt;13, "Child", A669&lt;20, "Teenager", A669&lt;40, "Young Adult", A669&lt;60, "Senior Adult", A669&gt;=60, "Elderly")</f>
        <v>Senior Adult</v>
      </c>
    </row>
    <row r="670" spans="1:8" x14ac:dyDescent="0.25">
      <c r="A670" s="1">
        <v>62</v>
      </c>
      <c r="B670" t="s">
        <v>8</v>
      </c>
      <c r="C670" s="2">
        <v>32</v>
      </c>
      <c r="D670" s="1">
        <v>0</v>
      </c>
      <c r="E670" t="s">
        <v>9</v>
      </c>
      <c r="F670" t="s">
        <v>14</v>
      </c>
      <c r="G670" s="3">
        <v>45710.21</v>
      </c>
      <c r="H670" t="str" cm="1">
        <f t="array" ref="H670">_xlfn.IFS(A670&lt;13, "Child", A670&lt;20, "Teenager", A670&lt;40, "Young Adult", A670&lt;60, "Senior Adult", A670&gt;=60, "Elderly")</f>
        <v>Elderly</v>
      </c>
    </row>
    <row r="671" spans="1:8" x14ac:dyDescent="0.25">
      <c r="A671" s="1">
        <v>40</v>
      </c>
      <c r="B671" t="s">
        <v>7</v>
      </c>
      <c r="C671" s="2">
        <v>29.8</v>
      </c>
      <c r="D671" s="1">
        <v>1</v>
      </c>
      <c r="E671" t="s">
        <v>10</v>
      </c>
      <c r="F671" t="s">
        <v>12</v>
      </c>
      <c r="G671" s="3">
        <v>6500.24</v>
      </c>
      <c r="H671" t="str" cm="1">
        <f t="array" ref="H671">_xlfn.IFS(A671&lt;13, "Child", A671&lt;20, "Teenager", A671&lt;40, "Young Adult", A671&lt;60, "Senior Adult", A671&gt;=60, "Elderly")</f>
        <v>Senior Adult</v>
      </c>
    </row>
    <row r="672" spans="1:8" x14ac:dyDescent="0.25">
      <c r="A672" s="1">
        <v>30</v>
      </c>
      <c r="B672" t="s">
        <v>8</v>
      </c>
      <c r="C672" s="2">
        <v>31.6</v>
      </c>
      <c r="D672" s="1">
        <v>3</v>
      </c>
      <c r="E672" t="s">
        <v>10</v>
      </c>
      <c r="F672" t="s">
        <v>12</v>
      </c>
      <c r="G672" s="3">
        <v>4837.58</v>
      </c>
      <c r="H672" t="str" cm="1">
        <f t="array" ref="H672">_xlfn.IFS(A672&lt;13, "Child", A672&lt;20, "Teenager", A672&lt;40, "Young Adult", A672&lt;60, "Senior Adult", A672&gt;=60, "Elderly")</f>
        <v>Young Adult</v>
      </c>
    </row>
    <row r="673" spans="1:8" x14ac:dyDescent="0.25">
      <c r="A673" s="1">
        <v>29</v>
      </c>
      <c r="B673" t="s">
        <v>7</v>
      </c>
      <c r="C673" s="2">
        <v>31.2</v>
      </c>
      <c r="D673" s="1">
        <v>0</v>
      </c>
      <c r="E673" t="s">
        <v>10</v>
      </c>
      <c r="F673" t="s">
        <v>14</v>
      </c>
      <c r="G673" s="3">
        <v>3943.6</v>
      </c>
      <c r="H673" t="str" cm="1">
        <f t="array" ref="H673">_xlfn.IFS(A673&lt;13, "Child", A673&lt;20, "Teenager", A673&lt;40, "Young Adult", A673&lt;60, "Senior Adult", A673&gt;=60, "Elderly")</f>
        <v>Young Adult</v>
      </c>
    </row>
    <row r="674" spans="1:8" x14ac:dyDescent="0.25">
      <c r="A674" s="1">
        <v>36</v>
      </c>
      <c r="B674" t="s">
        <v>8</v>
      </c>
      <c r="C674" s="2">
        <v>29.7</v>
      </c>
      <c r="D674" s="1">
        <v>0</v>
      </c>
      <c r="E674" t="s">
        <v>10</v>
      </c>
      <c r="F674" t="s">
        <v>12</v>
      </c>
      <c r="G674" s="3">
        <v>4399.7299999999996</v>
      </c>
      <c r="H674" t="str" cm="1">
        <f t="array" ref="H674">_xlfn.IFS(A674&lt;13, "Child", A674&lt;20, "Teenager", A674&lt;40, "Young Adult", A674&lt;60, "Senior Adult", A674&gt;=60, "Elderly")</f>
        <v>Young Adult</v>
      </c>
    </row>
    <row r="675" spans="1:8" x14ac:dyDescent="0.25">
      <c r="A675" s="1">
        <v>41</v>
      </c>
      <c r="B675" t="s">
        <v>7</v>
      </c>
      <c r="C675" s="2">
        <v>31</v>
      </c>
      <c r="D675" s="1">
        <v>0</v>
      </c>
      <c r="E675" t="s">
        <v>10</v>
      </c>
      <c r="F675" t="s">
        <v>12</v>
      </c>
      <c r="G675" s="3">
        <v>6185.32</v>
      </c>
      <c r="H675" t="str" cm="1">
        <f t="array" ref="H675">_xlfn.IFS(A675&lt;13, "Child", A675&lt;20, "Teenager", A675&lt;40, "Young Adult", A675&lt;60, "Senior Adult", A675&gt;=60, "Elderly")</f>
        <v>Senior Adult</v>
      </c>
    </row>
    <row r="676" spans="1:8" x14ac:dyDescent="0.25">
      <c r="A676" s="1">
        <v>44</v>
      </c>
      <c r="B676" t="s">
        <v>7</v>
      </c>
      <c r="C676" s="2">
        <v>43.9</v>
      </c>
      <c r="D676" s="1">
        <v>2</v>
      </c>
      <c r="E676" t="s">
        <v>9</v>
      </c>
      <c r="F676" t="s">
        <v>12</v>
      </c>
      <c r="G676" s="3">
        <v>46200.99</v>
      </c>
      <c r="H676" t="str" cm="1">
        <f t="array" ref="H676">_xlfn.IFS(A676&lt;13, "Child", A676&lt;20, "Teenager", A676&lt;40, "Young Adult", A676&lt;60, "Senior Adult", A676&gt;=60, "Elderly")</f>
        <v>Senior Adult</v>
      </c>
    </row>
    <row r="677" spans="1:8" x14ac:dyDescent="0.25">
      <c r="A677" s="1">
        <v>45</v>
      </c>
      <c r="B677" t="s">
        <v>8</v>
      </c>
      <c r="C677" s="2">
        <v>21.4</v>
      </c>
      <c r="D677" s="1">
        <v>0</v>
      </c>
      <c r="E677" t="s">
        <v>10</v>
      </c>
      <c r="F677" t="s">
        <v>13</v>
      </c>
      <c r="G677" s="3">
        <v>7222.79</v>
      </c>
      <c r="H677" t="str" cm="1">
        <f t="array" ref="H677">_xlfn.IFS(A677&lt;13, "Child", A677&lt;20, "Teenager", A677&lt;40, "Young Adult", A677&lt;60, "Senior Adult", A677&gt;=60, "Elderly")</f>
        <v>Senior Adult</v>
      </c>
    </row>
    <row r="678" spans="1:8" x14ac:dyDescent="0.25">
      <c r="A678" s="1">
        <v>55</v>
      </c>
      <c r="B678" t="s">
        <v>7</v>
      </c>
      <c r="C678" s="2">
        <v>40.799999999999997</v>
      </c>
      <c r="D678" s="1">
        <v>3</v>
      </c>
      <c r="E678" t="s">
        <v>10</v>
      </c>
      <c r="F678" t="s">
        <v>12</v>
      </c>
      <c r="G678" s="3">
        <v>12485.8</v>
      </c>
      <c r="H678" t="str" cm="1">
        <f t="array" ref="H678">_xlfn.IFS(A678&lt;13, "Child", A678&lt;20, "Teenager", A678&lt;40, "Young Adult", A678&lt;60, "Senior Adult", A678&gt;=60, "Elderly")</f>
        <v>Senior Adult</v>
      </c>
    </row>
    <row r="679" spans="1:8" x14ac:dyDescent="0.25">
      <c r="A679" s="1">
        <v>60</v>
      </c>
      <c r="B679" t="s">
        <v>8</v>
      </c>
      <c r="C679" s="2">
        <v>31.4</v>
      </c>
      <c r="D679" s="1">
        <v>3</v>
      </c>
      <c r="E679" t="s">
        <v>9</v>
      </c>
      <c r="F679" t="s">
        <v>13</v>
      </c>
      <c r="G679" s="3">
        <v>46130.53</v>
      </c>
      <c r="H679" t="str" cm="1">
        <f t="array" ref="H679">_xlfn.IFS(A679&lt;13, "Child", A679&lt;20, "Teenager", A679&lt;40, "Young Adult", A679&lt;60, "Senior Adult", A679&gt;=60, "Elderly")</f>
        <v>Elderly</v>
      </c>
    </row>
    <row r="680" spans="1:8" x14ac:dyDescent="0.25">
      <c r="A680" s="1">
        <v>56</v>
      </c>
      <c r="B680" t="s">
        <v>8</v>
      </c>
      <c r="C680" s="2">
        <v>36.1</v>
      </c>
      <c r="D680" s="1">
        <v>3</v>
      </c>
      <c r="E680" t="s">
        <v>10</v>
      </c>
      <c r="F680" t="s">
        <v>11</v>
      </c>
      <c r="G680" s="3">
        <v>12363.55</v>
      </c>
      <c r="H680" t="str" cm="1">
        <f t="array" ref="H680">_xlfn.IFS(A680&lt;13, "Child", A680&lt;20, "Teenager", A680&lt;40, "Young Adult", A680&lt;60, "Senior Adult", A680&gt;=60, "Elderly")</f>
        <v>Senior Adult</v>
      </c>
    </row>
    <row r="681" spans="1:8" x14ac:dyDescent="0.25">
      <c r="A681" s="1">
        <v>49</v>
      </c>
      <c r="B681" t="s">
        <v>7</v>
      </c>
      <c r="C681" s="2">
        <v>23.2</v>
      </c>
      <c r="D681" s="1">
        <v>2</v>
      </c>
      <c r="E681" t="s">
        <v>10</v>
      </c>
      <c r="F681" t="s">
        <v>13</v>
      </c>
      <c r="G681" s="3">
        <v>10156.780000000001</v>
      </c>
      <c r="H681" t="str" cm="1">
        <f t="array" ref="H681">_xlfn.IFS(A681&lt;13, "Child", A681&lt;20, "Teenager", A681&lt;40, "Young Adult", A681&lt;60, "Senior Adult", A681&gt;=60, "Elderly")</f>
        <v>Senior Adult</v>
      </c>
    </row>
    <row r="682" spans="1:8" x14ac:dyDescent="0.25">
      <c r="A682" s="1">
        <v>21</v>
      </c>
      <c r="B682" t="s">
        <v>7</v>
      </c>
      <c r="C682" s="2">
        <v>17.399999999999999</v>
      </c>
      <c r="D682" s="1">
        <v>1</v>
      </c>
      <c r="E682" t="s">
        <v>10</v>
      </c>
      <c r="F682" t="s">
        <v>11</v>
      </c>
      <c r="G682" s="3">
        <v>2585.27</v>
      </c>
      <c r="H682" t="str" cm="1">
        <f t="array" ref="H682">_xlfn.IFS(A682&lt;13, "Child", A682&lt;20, "Teenager", A682&lt;40, "Young Adult", A682&lt;60, "Senior Adult", A682&gt;=60, "Elderly")</f>
        <v>Young Adult</v>
      </c>
    </row>
    <row r="683" spans="1:8" x14ac:dyDescent="0.25">
      <c r="A683" s="1">
        <v>19</v>
      </c>
      <c r="B683" t="s">
        <v>8</v>
      </c>
      <c r="C683" s="2">
        <v>20.3</v>
      </c>
      <c r="D683" s="1">
        <v>0</v>
      </c>
      <c r="E683" t="s">
        <v>10</v>
      </c>
      <c r="F683" t="s">
        <v>11</v>
      </c>
      <c r="G683" s="3">
        <v>1242.26</v>
      </c>
      <c r="H683" t="str" cm="1">
        <f t="array" ref="H683">_xlfn.IFS(A683&lt;13, "Child", A683&lt;20, "Teenager", A683&lt;40, "Young Adult", A683&lt;60, "Senior Adult", A683&gt;=60, "Elderly")</f>
        <v>Teenager</v>
      </c>
    </row>
    <row r="684" spans="1:8" x14ac:dyDescent="0.25">
      <c r="A684" s="1">
        <v>39</v>
      </c>
      <c r="B684" t="s">
        <v>8</v>
      </c>
      <c r="C684" s="2">
        <v>35.299999999999997</v>
      </c>
      <c r="D684" s="1">
        <v>2</v>
      </c>
      <c r="E684" t="s">
        <v>9</v>
      </c>
      <c r="F684" t="s">
        <v>11</v>
      </c>
      <c r="G684" s="3">
        <v>40103.89</v>
      </c>
      <c r="H684" t="str" cm="1">
        <f t="array" ref="H684">_xlfn.IFS(A684&lt;13, "Child", A684&lt;20, "Teenager", A684&lt;40, "Young Adult", A684&lt;60, "Senior Adult", A684&gt;=60, "Elderly")</f>
        <v>Young Adult</v>
      </c>
    </row>
    <row r="685" spans="1:8" x14ac:dyDescent="0.25">
      <c r="A685" s="1">
        <v>53</v>
      </c>
      <c r="B685" t="s">
        <v>8</v>
      </c>
      <c r="C685" s="2">
        <v>24.3</v>
      </c>
      <c r="D685" s="1">
        <v>0</v>
      </c>
      <c r="E685" t="s">
        <v>10</v>
      </c>
      <c r="F685" t="s">
        <v>13</v>
      </c>
      <c r="G685" s="3">
        <v>9863.4699999999993</v>
      </c>
      <c r="H685" t="str" cm="1">
        <f t="array" ref="H685">_xlfn.IFS(A685&lt;13, "Child", A685&lt;20, "Teenager", A685&lt;40, "Young Adult", A685&lt;60, "Senior Adult", A685&gt;=60, "Elderly")</f>
        <v>Senior Adult</v>
      </c>
    </row>
    <row r="686" spans="1:8" x14ac:dyDescent="0.25">
      <c r="A686" s="1">
        <v>33</v>
      </c>
      <c r="B686" t="s">
        <v>7</v>
      </c>
      <c r="C686" s="2">
        <v>18.5</v>
      </c>
      <c r="D686" s="1">
        <v>1</v>
      </c>
      <c r="E686" t="s">
        <v>10</v>
      </c>
      <c r="F686" t="s">
        <v>11</v>
      </c>
      <c r="G686" s="3">
        <v>4766.0200000000004</v>
      </c>
      <c r="H686" t="str" cm="1">
        <f t="array" ref="H686">_xlfn.IFS(A686&lt;13, "Child", A686&lt;20, "Teenager", A686&lt;40, "Young Adult", A686&lt;60, "Senior Adult", A686&gt;=60, "Elderly")</f>
        <v>Young Adult</v>
      </c>
    </row>
    <row r="687" spans="1:8" x14ac:dyDescent="0.25">
      <c r="A687" s="1">
        <v>53</v>
      </c>
      <c r="B687" t="s">
        <v>8</v>
      </c>
      <c r="C687" s="2">
        <v>26.4</v>
      </c>
      <c r="D687" s="1">
        <v>2</v>
      </c>
      <c r="E687" t="s">
        <v>10</v>
      </c>
      <c r="F687" t="s">
        <v>14</v>
      </c>
      <c r="G687" s="3">
        <v>11244.38</v>
      </c>
      <c r="H687" t="str" cm="1">
        <f t="array" ref="H687">_xlfn.IFS(A687&lt;13, "Child", A687&lt;20, "Teenager", A687&lt;40, "Young Adult", A687&lt;60, "Senior Adult", A687&gt;=60, "Elderly")</f>
        <v>Senior Adult</v>
      </c>
    </row>
    <row r="688" spans="1:8" x14ac:dyDescent="0.25">
      <c r="A688" s="1">
        <v>42</v>
      </c>
      <c r="B688" t="s">
        <v>8</v>
      </c>
      <c r="C688" s="2">
        <v>26.1</v>
      </c>
      <c r="D688" s="1">
        <v>2</v>
      </c>
      <c r="E688" t="s">
        <v>10</v>
      </c>
      <c r="F688" t="s">
        <v>14</v>
      </c>
      <c r="G688" s="3">
        <v>7729.65</v>
      </c>
      <c r="H688" t="str" cm="1">
        <f t="array" ref="H688">_xlfn.IFS(A688&lt;13, "Child", A688&lt;20, "Teenager", A688&lt;40, "Young Adult", A688&lt;60, "Senior Adult", A688&gt;=60, "Elderly")</f>
        <v>Senior Adult</v>
      </c>
    </row>
    <row r="689" spans="1:8" x14ac:dyDescent="0.25">
      <c r="A689" s="1">
        <v>40</v>
      </c>
      <c r="B689" t="s">
        <v>8</v>
      </c>
      <c r="C689" s="2">
        <v>41.7</v>
      </c>
      <c r="D689" s="1">
        <v>0</v>
      </c>
      <c r="E689" t="s">
        <v>10</v>
      </c>
      <c r="F689" t="s">
        <v>12</v>
      </c>
      <c r="G689" s="3">
        <v>5438.75</v>
      </c>
      <c r="H689" t="str" cm="1">
        <f t="array" ref="H689">_xlfn.IFS(A689&lt;13, "Child", A689&lt;20, "Teenager", A689&lt;40, "Young Adult", A689&lt;60, "Senior Adult", A689&gt;=60, "Elderly")</f>
        <v>Senior Adult</v>
      </c>
    </row>
    <row r="690" spans="1:8" x14ac:dyDescent="0.25">
      <c r="A690" s="1">
        <v>47</v>
      </c>
      <c r="B690" t="s">
        <v>7</v>
      </c>
      <c r="C690" s="2">
        <v>24.1</v>
      </c>
      <c r="D690" s="1">
        <v>1</v>
      </c>
      <c r="E690" t="s">
        <v>10</v>
      </c>
      <c r="F690" t="s">
        <v>11</v>
      </c>
      <c r="G690" s="3">
        <v>26236.58</v>
      </c>
      <c r="H690" t="str" cm="1">
        <f t="array" ref="H690">_xlfn.IFS(A690&lt;13, "Child", A690&lt;20, "Teenager", A690&lt;40, "Young Adult", A690&lt;60, "Senior Adult", A690&gt;=60, "Elderly")</f>
        <v>Senior Adult</v>
      </c>
    </row>
    <row r="691" spans="1:8" x14ac:dyDescent="0.25">
      <c r="A691" s="1">
        <v>27</v>
      </c>
      <c r="B691" t="s">
        <v>8</v>
      </c>
      <c r="C691" s="2">
        <v>31.1</v>
      </c>
      <c r="D691" s="1">
        <v>1</v>
      </c>
      <c r="E691" t="s">
        <v>9</v>
      </c>
      <c r="F691" t="s">
        <v>12</v>
      </c>
      <c r="G691" s="3">
        <v>34806.47</v>
      </c>
      <c r="H691" t="str" cm="1">
        <f t="array" ref="H691">_xlfn.IFS(A691&lt;13, "Child", A691&lt;20, "Teenager", A691&lt;40, "Young Adult", A691&lt;60, "Senior Adult", A691&gt;=60, "Elderly")</f>
        <v>Young Adult</v>
      </c>
    </row>
    <row r="692" spans="1:8" x14ac:dyDescent="0.25">
      <c r="A692" s="1">
        <v>21</v>
      </c>
      <c r="B692" t="s">
        <v>8</v>
      </c>
      <c r="C692" s="2">
        <v>27.4</v>
      </c>
      <c r="D692" s="1">
        <v>0</v>
      </c>
      <c r="E692" t="s">
        <v>10</v>
      </c>
      <c r="F692" t="s">
        <v>14</v>
      </c>
      <c r="G692" s="3">
        <v>2104.11</v>
      </c>
      <c r="H692" t="str" cm="1">
        <f t="array" ref="H692">_xlfn.IFS(A692&lt;13, "Child", A692&lt;20, "Teenager", A692&lt;40, "Young Adult", A692&lt;60, "Senior Adult", A692&gt;=60, "Elderly")</f>
        <v>Young Adult</v>
      </c>
    </row>
    <row r="693" spans="1:8" x14ac:dyDescent="0.25">
      <c r="A693" s="1">
        <v>47</v>
      </c>
      <c r="B693" t="s">
        <v>8</v>
      </c>
      <c r="C693" s="2">
        <v>36.200000000000003</v>
      </c>
      <c r="D693" s="1">
        <v>1</v>
      </c>
      <c r="E693" t="s">
        <v>10</v>
      </c>
      <c r="F693" t="s">
        <v>11</v>
      </c>
      <c r="G693" s="3">
        <v>8068.19</v>
      </c>
      <c r="H693" t="str" cm="1">
        <f t="array" ref="H693">_xlfn.IFS(A693&lt;13, "Child", A693&lt;20, "Teenager", A693&lt;40, "Young Adult", A693&lt;60, "Senior Adult", A693&gt;=60, "Elderly")</f>
        <v>Senior Adult</v>
      </c>
    </row>
    <row r="694" spans="1:8" x14ac:dyDescent="0.25">
      <c r="A694" s="1">
        <v>20</v>
      </c>
      <c r="B694" t="s">
        <v>8</v>
      </c>
      <c r="C694" s="2">
        <v>32.4</v>
      </c>
      <c r="D694" s="1">
        <v>1</v>
      </c>
      <c r="E694" t="s">
        <v>10</v>
      </c>
      <c r="F694" t="s">
        <v>13</v>
      </c>
      <c r="G694" s="3">
        <v>2362.23</v>
      </c>
      <c r="H694" t="str" cm="1">
        <f t="array" ref="H694">_xlfn.IFS(A694&lt;13, "Child", A694&lt;20, "Teenager", A694&lt;40, "Young Adult", A694&lt;60, "Senior Adult", A694&gt;=60, "Elderly")</f>
        <v>Young Adult</v>
      </c>
    </row>
    <row r="695" spans="1:8" x14ac:dyDescent="0.25">
      <c r="A695" s="1">
        <v>24</v>
      </c>
      <c r="B695" t="s">
        <v>8</v>
      </c>
      <c r="C695" s="2">
        <v>23.7</v>
      </c>
      <c r="D695" s="1">
        <v>0</v>
      </c>
      <c r="E695" t="s">
        <v>10</v>
      </c>
      <c r="F695" t="s">
        <v>13</v>
      </c>
      <c r="G695" s="3">
        <v>2352.9699999999998</v>
      </c>
      <c r="H695" t="str" cm="1">
        <f t="array" ref="H695">_xlfn.IFS(A695&lt;13, "Child", A695&lt;20, "Teenager", A695&lt;40, "Young Adult", A695&lt;60, "Senior Adult", A695&gt;=60, "Elderly")</f>
        <v>Young Adult</v>
      </c>
    </row>
    <row r="696" spans="1:8" x14ac:dyDescent="0.25">
      <c r="A696" s="1">
        <v>27</v>
      </c>
      <c r="B696" t="s">
        <v>7</v>
      </c>
      <c r="C696" s="2">
        <v>34.799999999999997</v>
      </c>
      <c r="D696" s="1">
        <v>1</v>
      </c>
      <c r="E696" t="s">
        <v>10</v>
      </c>
      <c r="F696" t="s">
        <v>11</v>
      </c>
      <c r="G696" s="3">
        <v>3578</v>
      </c>
      <c r="H696" t="str" cm="1">
        <f t="array" ref="H696">_xlfn.IFS(A696&lt;13, "Child", A696&lt;20, "Teenager", A696&lt;40, "Young Adult", A696&lt;60, "Senior Adult", A696&gt;=60, "Elderly")</f>
        <v>Young Adult</v>
      </c>
    </row>
    <row r="697" spans="1:8" x14ac:dyDescent="0.25">
      <c r="A697" s="1">
        <v>26</v>
      </c>
      <c r="B697" t="s">
        <v>7</v>
      </c>
      <c r="C697" s="2">
        <v>40.200000000000003</v>
      </c>
      <c r="D697" s="1">
        <v>0</v>
      </c>
      <c r="E697" t="s">
        <v>10</v>
      </c>
      <c r="F697" t="s">
        <v>13</v>
      </c>
      <c r="G697" s="3">
        <v>3201.25</v>
      </c>
      <c r="H697" t="str" cm="1">
        <f t="array" ref="H697">_xlfn.IFS(A697&lt;13, "Child", A697&lt;20, "Teenager", A697&lt;40, "Young Adult", A697&lt;60, "Senior Adult", A697&gt;=60, "Elderly")</f>
        <v>Young Adult</v>
      </c>
    </row>
    <row r="698" spans="1:8" x14ac:dyDescent="0.25">
      <c r="A698" s="1">
        <v>53</v>
      </c>
      <c r="B698" t="s">
        <v>7</v>
      </c>
      <c r="C698" s="2">
        <v>32.299999999999997</v>
      </c>
      <c r="D698" s="1">
        <v>2</v>
      </c>
      <c r="E698" t="s">
        <v>10</v>
      </c>
      <c r="F698" t="s">
        <v>14</v>
      </c>
      <c r="G698" s="3">
        <v>29186.48</v>
      </c>
      <c r="H698" t="str" cm="1">
        <f t="array" ref="H698">_xlfn.IFS(A698&lt;13, "Child", A698&lt;20, "Teenager", A698&lt;40, "Young Adult", A698&lt;60, "Senior Adult", A698&gt;=60, "Elderly")</f>
        <v>Senior Adult</v>
      </c>
    </row>
    <row r="699" spans="1:8" x14ac:dyDescent="0.25">
      <c r="A699" s="1">
        <v>41</v>
      </c>
      <c r="B699" t="s">
        <v>8</v>
      </c>
      <c r="C699" s="2">
        <v>35.799999999999997</v>
      </c>
      <c r="D699" s="1">
        <v>1</v>
      </c>
      <c r="E699" t="s">
        <v>9</v>
      </c>
      <c r="F699" t="s">
        <v>12</v>
      </c>
      <c r="G699" s="3">
        <v>40273.65</v>
      </c>
      <c r="H699" t="str" cm="1">
        <f t="array" ref="H699">_xlfn.IFS(A699&lt;13, "Child", A699&lt;20, "Teenager", A699&lt;40, "Young Adult", A699&lt;60, "Senior Adult", A699&gt;=60, "Elderly")</f>
        <v>Senior Adult</v>
      </c>
    </row>
    <row r="700" spans="1:8" x14ac:dyDescent="0.25">
      <c r="A700" s="1">
        <v>56</v>
      </c>
      <c r="B700" t="s">
        <v>8</v>
      </c>
      <c r="C700" s="2">
        <v>33.700000000000003</v>
      </c>
      <c r="D700" s="1">
        <v>0</v>
      </c>
      <c r="E700" t="s">
        <v>10</v>
      </c>
      <c r="F700" t="s">
        <v>13</v>
      </c>
      <c r="G700" s="3">
        <v>10976.25</v>
      </c>
      <c r="H700" t="str" cm="1">
        <f t="array" ref="H700">_xlfn.IFS(A700&lt;13, "Child", A700&lt;20, "Teenager", A700&lt;40, "Young Adult", A700&lt;60, "Senior Adult", A700&gt;=60, "Elderly")</f>
        <v>Senior Adult</v>
      </c>
    </row>
    <row r="701" spans="1:8" x14ac:dyDescent="0.25">
      <c r="A701" s="1">
        <v>23</v>
      </c>
      <c r="B701" t="s">
        <v>7</v>
      </c>
      <c r="C701" s="2">
        <v>39.299999999999997</v>
      </c>
      <c r="D701" s="1">
        <v>2</v>
      </c>
      <c r="E701" t="s">
        <v>10</v>
      </c>
      <c r="F701" t="s">
        <v>12</v>
      </c>
      <c r="G701" s="3">
        <v>3500.61</v>
      </c>
      <c r="H701" t="str" cm="1">
        <f t="array" ref="H701">_xlfn.IFS(A701&lt;13, "Child", A701&lt;20, "Teenager", A701&lt;40, "Young Adult", A701&lt;60, "Senior Adult", A701&gt;=60, "Elderly")</f>
        <v>Young Adult</v>
      </c>
    </row>
    <row r="702" spans="1:8" x14ac:dyDescent="0.25">
      <c r="A702" s="1">
        <v>21</v>
      </c>
      <c r="B702" t="s">
        <v>7</v>
      </c>
      <c r="C702" s="2">
        <v>34.9</v>
      </c>
      <c r="D702" s="1">
        <v>0</v>
      </c>
      <c r="E702" t="s">
        <v>10</v>
      </c>
      <c r="F702" t="s">
        <v>12</v>
      </c>
      <c r="G702" s="3">
        <v>2020.55</v>
      </c>
      <c r="H702" t="str" cm="1">
        <f t="array" ref="H702">_xlfn.IFS(A702&lt;13, "Child", A702&lt;20, "Teenager", A702&lt;40, "Young Adult", A702&lt;60, "Senior Adult", A702&gt;=60, "Elderly")</f>
        <v>Young Adult</v>
      </c>
    </row>
    <row r="703" spans="1:8" x14ac:dyDescent="0.25">
      <c r="A703" s="1">
        <v>50</v>
      </c>
      <c r="B703" t="s">
        <v>7</v>
      </c>
      <c r="C703" s="2">
        <v>44.7</v>
      </c>
      <c r="D703" s="1">
        <v>0</v>
      </c>
      <c r="E703" t="s">
        <v>10</v>
      </c>
      <c r="F703" t="s">
        <v>14</v>
      </c>
      <c r="G703" s="3">
        <v>9541.7000000000007</v>
      </c>
      <c r="H703" t="str" cm="1">
        <f t="array" ref="H703">_xlfn.IFS(A703&lt;13, "Child", A703&lt;20, "Teenager", A703&lt;40, "Young Adult", A703&lt;60, "Senior Adult", A703&gt;=60, "Elderly")</f>
        <v>Senior Adult</v>
      </c>
    </row>
    <row r="704" spans="1:8" x14ac:dyDescent="0.25">
      <c r="A704" s="1">
        <v>53</v>
      </c>
      <c r="B704" t="s">
        <v>8</v>
      </c>
      <c r="C704" s="2">
        <v>41.5</v>
      </c>
      <c r="D704" s="1">
        <v>0</v>
      </c>
      <c r="E704" t="s">
        <v>10</v>
      </c>
      <c r="F704" t="s">
        <v>12</v>
      </c>
      <c r="G704" s="3">
        <v>9504.31</v>
      </c>
      <c r="H704" t="str" cm="1">
        <f t="array" ref="H704">_xlfn.IFS(A704&lt;13, "Child", A704&lt;20, "Teenager", A704&lt;40, "Young Adult", A704&lt;60, "Senior Adult", A704&gt;=60, "Elderly")</f>
        <v>Senior Adult</v>
      </c>
    </row>
    <row r="705" spans="1:8" x14ac:dyDescent="0.25">
      <c r="A705" s="1">
        <v>34</v>
      </c>
      <c r="B705" t="s">
        <v>7</v>
      </c>
      <c r="C705" s="2">
        <v>26.4</v>
      </c>
      <c r="D705" s="1">
        <v>1</v>
      </c>
      <c r="E705" t="s">
        <v>10</v>
      </c>
      <c r="F705" t="s">
        <v>13</v>
      </c>
      <c r="G705" s="3">
        <v>5385.34</v>
      </c>
      <c r="H705" t="str" cm="1">
        <f t="array" ref="H705">_xlfn.IFS(A705&lt;13, "Child", A705&lt;20, "Teenager", A705&lt;40, "Young Adult", A705&lt;60, "Senior Adult", A705&gt;=60, "Elderly")</f>
        <v>Young Adult</v>
      </c>
    </row>
    <row r="706" spans="1:8" x14ac:dyDescent="0.25">
      <c r="A706" s="1">
        <v>47</v>
      </c>
      <c r="B706" t="s">
        <v>7</v>
      </c>
      <c r="C706" s="2">
        <v>29.5</v>
      </c>
      <c r="D706" s="1">
        <v>1</v>
      </c>
      <c r="E706" t="s">
        <v>10</v>
      </c>
      <c r="F706" t="s">
        <v>13</v>
      </c>
      <c r="G706" s="3">
        <v>8930.93</v>
      </c>
      <c r="H706" t="str" cm="1">
        <f t="array" ref="H706">_xlfn.IFS(A706&lt;13, "Child", A706&lt;20, "Teenager", A706&lt;40, "Young Adult", A706&lt;60, "Senior Adult", A706&gt;=60, "Elderly")</f>
        <v>Senior Adult</v>
      </c>
    </row>
    <row r="707" spans="1:8" x14ac:dyDescent="0.25">
      <c r="A707" s="1">
        <v>33</v>
      </c>
      <c r="B707" t="s">
        <v>7</v>
      </c>
      <c r="C707" s="2">
        <v>32.9</v>
      </c>
      <c r="D707" s="1">
        <v>2</v>
      </c>
      <c r="E707" t="s">
        <v>10</v>
      </c>
      <c r="F707" t="s">
        <v>11</v>
      </c>
      <c r="G707" s="3">
        <v>5375.04</v>
      </c>
      <c r="H707" t="str" cm="1">
        <f t="array" ref="H707">_xlfn.IFS(A707&lt;13, "Child", A707&lt;20, "Teenager", A707&lt;40, "Young Adult", A707&lt;60, "Senior Adult", A707&gt;=60, "Elderly")</f>
        <v>Young Adult</v>
      </c>
    </row>
    <row r="708" spans="1:8" x14ac:dyDescent="0.25">
      <c r="A708" s="1">
        <v>51</v>
      </c>
      <c r="B708" t="s">
        <v>7</v>
      </c>
      <c r="C708" s="2">
        <v>38.1</v>
      </c>
      <c r="D708" s="1">
        <v>0</v>
      </c>
      <c r="E708" t="s">
        <v>9</v>
      </c>
      <c r="F708" t="s">
        <v>12</v>
      </c>
      <c r="G708" s="3">
        <v>44400.41</v>
      </c>
      <c r="H708" t="str" cm="1">
        <f t="array" ref="H708">_xlfn.IFS(A708&lt;13, "Child", A708&lt;20, "Teenager", A708&lt;40, "Young Adult", A708&lt;60, "Senior Adult", A708&gt;=60, "Elderly")</f>
        <v>Senior Adult</v>
      </c>
    </row>
    <row r="709" spans="1:8" x14ac:dyDescent="0.25">
      <c r="A709" s="1">
        <v>49</v>
      </c>
      <c r="B709" t="s">
        <v>8</v>
      </c>
      <c r="C709" s="2">
        <v>28.7</v>
      </c>
      <c r="D709" s="1">
        <v>3</v>
      </c>
      <c r="E709" t="s">
        <v>10</v>
      </c>
      <c r="F709" t="s">
        <v>13</v>
      </c>
      <c r="G709" s="3">
        <v>10264.44</v>
      </c>
      <c r="H709" t="str" cm="1">
        <f t="array" ref="H709">_xlfn.IFS(A709&lt;13, "Child", A709&lt;20, "Teenager", A709&lt;40, "Young Adult", A709&lt;60, "Senior Adult", A709&gt;=60, "Elderly")</f>
        <v>Senior Adult</v>
      </c>
    </row>
    <row r="710" spans="1:8" x14ac:dyDescent="0.25">
      <c r="A710" s="1">
        <v>31</v>
      </c>
      <c r="B710" t="s">
        <v>7</v>
      </c>
      <c r="C710" s="2">
        <v>30.5</v>
      </c>
      <c r="D710" s="1">
        <v>3</v>
      </c>
      <c r="E710" t="s">
        <v>10</v>
      </c>
      <c r="F710" t="s">
        <v>14</v>
      </c>
      <c r="G710" s="3">
        <v>6113.23</v>
      </c>
      <c r="H710" t="str" cm="1">
        <f t="array" ref="H710">_xlfn.IFS(A710&lt;13, "Child", A710&lt;20, "Teenager", A710&lt;40, "Young Adult", A710&lt;60, "Senior Adult", A710&gt;=60, "Elderly")</f>
        <v>Young Adult</v>
      </c>
    </row>
    <row r="711" spans="1:8" x14ac:dyDescent="0.25">
      <c r="A711" s="1">
        <v>36</v>
      </c>
      <c r="B711" t="s">
        <v>7</v>
      </c>
      <c r="C711" s="2">
        <v>27.7</v>
      </c>
      <c r="D711" s="1">
        <v>0</v>
      </c>
      <c r="E711" t="s">
        <v>10</v>
      </c>
      <c r="F711" t="s">
        <v>14</v>
      </c>
      <c r="G711" s="3">
        <v>5469.01</v>
      </c>
      <c r="H711" t="str" cm="1">
        <f t="array" ref="H711">_xlfn.IFS(A711&lt;13, "Child", A711&lt;20, "Teenager", A711&lt;40, "Young Adult", A711&lt;60, "Senior Adult", A711&gt;=60, "Elderly")</f>
        <v>Young Adult</v>
      </c>
    </row>
    <row r="712" spans="1:8" x14ac:dyDescent="0.25">
      <c r="A712" s="1">
        <v>18</v>
      </c>
      <c r="B712" t="s">
        <v>8</v>
      </c>
      <c r="C712" s="2">
        <v>35.200000000000003</v>
      </c>
      <c r="D712" s="1">
        <v>1</v>
      </c>
      <c r="E712" t="s">
        <v>10</v>
      </c>
      <c r="F712" t="s">
        <v>12</v>
      </c>
      <c r="G712" s="3">
        <v>1727.54</v>
      </c>
      <c r="H712" t="str" cm="1">
        <f t="array" ref="H712">_xlfn.IFS(A712&lt;13, "Child", A712&lt;20, "Teenager", A712&lt;40, "Young Adult", A712&lt;60, "Senior Adult", A712&gt;=60, "Elderly")</f>
        <v>Teenager</v>
      </c>
    </row>
    <row r="713" spans="1:8" x14ac:dyDescent="0.25">
      <c r="A713" s="1">
        <v>50</v>
      </c>
      <c r="B713" t="s">
        <v>7</v>
      </c>
      <c r="C713" s="2">
        <v>23.5</v>
      </c>
      <c r="D713" s="1">
        <v>2</v>
      </c>
      <c r="E713" t="s">
        <v>10</v>
      </c>
      <c r="F713" t="s">
        <v>12</v>
      </c>
      <c r="G713" s="3">
        <v>10107.219999999999</v>
      </c>
      <c r="H713" t="str" cm="1">
        <f t="array" ref="H713">_xlfn.IFS(A713&lt;13, "Child", A713&lt;20, "Teenager", A713&lt;40, "Young Adult", A713&lt;60, "Senior Adult", A713&gt;=60, "Elderly")</f>
        <v>Senior Adult</v>
      </c>
    </row>
    <row r="714" spans="1:8" x14ac:dyDescent="0.25">
      <c r="A714" s="1">
        <v>43</v>
      </c>
      <c r="B714" t="s">
        <v>7</v>
      </c>
      <c r="C714" s="2">
        <v>30.7</v>
      </c>
      <c r="D714" s="1">
        <v>2</v>
      </c>
      <c r="E714" t="s">
        <v>10</v>
      </c>
      <c r="F714" t="s">
        <v>13</v>
      </c>
      <c r="G714" s="3">
        <v>8310.84</v>
      </c>
      <c r="H714" t="str" cm="1">
        <f t="array" ref="H714">_xlfn.IFS(A714&lt;13, "Child", A714&lt;20, "Teenager", A714&lt;40, "Young Adult", A714&lt;60, "Senior Adult", A714&gt;=60, "Elderly")</f>
        <v>Senior Adult</v>
      </c>
    </row>
    <row r="715" spans="1:8" x14ac:dyDescent="0.25">
      <c r="A715" s="1">
        <v>20</v>
      </c>
      <c r="B715" t="s">
        <v>8</v>
      </c>
      <c r="C715" s="2">
        <v>40.5</v>
      </c>
      <c r="D715" s="1">
        <v>0</v>
      </c>
      <c r="E715" t="s">
        <v>10</v>
      </c>
      <c r="F715" t="s">
        <v>14</v>
      </c>
      <c r="G715" s="3">
        <v>1984.45</v>
      </c>
      <c r="H715" t="str" cm="1">
        <f t="array" ref="H715">_xlfn.IFS(A715&lt;13, "Child", A715&lt;20, "Teenager", A715&lt;40, "Young Adult", A715&lt;60, "Senior Adult", A715&gt;=60, "Elderly")</f>
        <v>Young Adult</v>
      </c>
    </row>
    <row r="716" spans="1:8" x14ac:dyDescent="0.25">
      <c r="A716" s="1">
        <v>24</v>
      </c>
      <c r="B716" t="s">
        <v>7</v>
      </c>
      <c r="C716" s="2">
        <v>22.6</v>
      </c>
      <c r="D716" s="1">
        <v>0</v>
      </c>
      <c r="E716" t="s">
        <v>10</v>
      </c>
      <c r="F716" t="s">
        <v>11</v>
      </c>
      <c r="G716" s="3">
        <v>2457.5</v>
      </c>
      <c r="H716" t="str" cm="1">
        <f t="array" ref="H716">_xlfn.IFS(A716&lt;13, "Child", A716&lt;20, "Teenager", A716&lt;40, "Young Adult", A716&lt;60, "Senior Adult", A716&gt;=60, "Elderly")</f>
        <v>Young Adult</v>
      </c>
    </row>
    <row r="717" spans="1:8" x14ac:dyDescent="0.25">
      <c r="A717" s="1">
        <v>60</v>
      </c>
      <c r="B717" t="s">
        <v>8</v>
      </c>
      <c r="C717" s="2">
        <v>28.9</v>
      </c>
      <c r="D717" s="1">
        <v>0</v>
      </c>
      <c r="E717" t="s">
        <v>10</v>
      </c>
      <c r="F717" t="s">
        <v>11</v>
      </c>
      <c r="G717" s="3">
        <v>12146.97</v>
      </c>
      <c r="H717" t="str" cm="1">
        <f t="array" ref="H717">_xlfn.IFS(A717&lt;13, "Child", A717&lt;20, "Teenager", A717&lt;40, "Young Adult", A717&lt;60, "Senior Adult", A717&gt;=60, "Elderly")</f>
        <v>Elderly</v>
      </c>
    </row>
    <row r="718" spans="1:8" x14ac:dyDescent="0.25">
      <c r="A718" s="1">
        <v>49</v>
      </c>
      <c r="B718" t="s">
        <v>7</v>
      </c>
      <c r="C718" s="2">
        <v>22.6</v>
      </c>
      <c r="D718" s="1">
        <v>1</v>
      </c>
      <c r="E718" t="s">
        <v>10</v>
      </c>
      <c r="F718" t="s">
        <v>13</v>
      </c>
      <c r="G718" s="3">
        <v>9566.99</v>
      </c>
      <c r="H718" t="str" cm="1">
        <f t="array" ref="H718">_xlfn.IFS(A718&lt;13, "Child", A718&lt;20, "Teenager", A718&lt;40, "Young Adult", A718&lt;60, "Senior Adult", A718&gt;=60, "Elderly")</f>
        <v>Senior Adult</v>
      </c>
    </row>
    <row r="719" spans="1:8" x14ac:dyDescent="0.25">
      <c r="A719" s="1">
        <v>60</v>
      </c>
      <c r="B719" t="s">
        <v>8</v>
      </c>
      <c r="C719" s="2">
        <v>24.3</v>
      </c>
      <c r="D719" s="1">
        <v>1</v>
      </c>
      <c r="E719" t="s">
        <v>10</v>
      </c>
      <c r="F719" t="s">
        <v>13</v>
      </c>
      <c r="G719" s="3">
        <v>13112.6</v>
      </c>
      <c r="H719" t="str" cm="1">
        <f t="array" ref="H719">_xlfn.IFS(A719&lt;13, "Child", A719&lt;20, "Teenager", A719&lt;40, "Young Adult", A719&lt;60, "Senior Adult", A719&gt;=60, "Elderly")</f>
        <v>Elderly</v>
      </c>
    </row>
    <row r="720" spans="1:8" x14ac:dyDescent="0.25">
      <c r="A720" s="1">
        <v>51</v>
      </c>
      <c r="B720" t="s">
        <v>7</v>
      </c>
      <c r="C720" s="2">
        <v>36.700000000000003</v>
      </c>
      <c r="D720" s="1">
        <v>2</v>
      </c>
      <c r="E720" t="s">
        <v>10</v>
      </c>
      <c r="F720" t="s">
        <v>13</v>
      </c>
      <c r="G720" s="3">
        <v>10848.13</v>
      </c>
      <c r="H720" t="str" cm="1">
        <f t="array" ref="H720">_xlfn.IFS(A720&lt;13, "Child", A720&lt;20, "Teenager", A720&lt;40, "Young Adult", A720&lt;60, "Senior Adult", A720&gt;=60, "Elderly")</f>
        <v>Senior Adult</v>
      </c>
    </row>
    <row r="721" spans="1:8" x14ac:dyDescent="0.25">
      <c r="A721" s="1">
        <v>58</v>
      </c>
      <c r="B721" t="s">
        <v>7</v>
      </c>
      <c r="C721" s="2">
        <v>33.4</v>
      </c>
      <c r="D721" s="1">
        <v>0</v>
      </c>
      <c r="E721" t="s">
        <v>10</v>
      </c>
      <c r="F721" t="s">
        <v>13</v>
      </c>
      <c r="G721" s="3">
        <v>12231.61</v>
      </c>
      <c r="H721" t="str" cm="1">
        <f t="array" ref="H721">_xlfn.IFS(A721&lt;13, "Child", A721&lt;20, "Teenager", A721&lt;40, "Young Adult", A721&lt;60, "Senior Adult", A721&gt;=60, "Elderly")</f>
        <v>Senior Adult</v>
      </c>
    </row>
    <row r="722" spans="1:8" x14ac:dyDescent="0.25">
      <c r="A722" s="1">
        <v>51</v>
      </c>
      <c r="B722" t="s">
        <v>7</v>
      </c>
      <c r="C722" s="2">
        <v>40.700000000000003</v>
      </c>
      <c r="D722" s="1">
        <v>0</v>
      </c>
      <c r="E722" t="s">
        <v>10</v>
      </c>
      <c r="F722" t="s">
        <v>14</v>
      </c>
      <c r="G722" s="3">
        <v>9875.68</v>
      </c>
      <c r="H722" t="str" cm="1">
        <f t="array" ref="H722">_xlfn.IFS(A722&lt;13, "Child", A722&lt;20, "Teenager", A722&lt;40, "Young Adult", A722&lt;60, "Senior Adult", A722&gt;=60, "Elderly")</f>
        <v>Senior Adult</v>
      </c>
    </row>
    <row r="723" spans="1:8" x14ac:dyDescent="0.25">
      <c r="A723" s="1">
        <v>53</v>
      </c>
      <c r="B723" t="s">
        <v>8</v>
      </c>
      <c r="C723" s="2">
        <v>36.6</v>
      </c>
      <c r="D723" s="1">
        <v>3</v>
      </c>
      <c r="E723" t="s">
        <v>10</v>
      </c>
      <c r="F723" t="s">
        <v>11</v>
      </c>
      <c r="G723" s="3">
        <v>11264.54</v>
      </c>
      <c r="H723" t="str" cm="1">
        <f t="array" ref="H723">_xlfn.IFS(A723&lt;13, "Child", A723&lt;20, "Teenager", A723&lt;40, "Young Adult", A723&lt;60, "Senior Adult", A723&gt;=60, "Elderly")</f>
        <v>Senior Adult</v>
      </c>
    </row>
    <row r="724" spans="1:8" x14ac:dyDescent="0.25">
      <c r="A724" s="1">
        <v>62</v>
      </c>
      <c r="B724" t="s">
        <v>8</v>
      </c>
      <c r="C724" s="2">
        <v>37.4</v>
      </c>
      <c r="D724" s="1">
        <v>0</v>
      </c>
      <c r="E724" t="s">
        <v>10</v>
      </c>
      <c r="F724" t="s">
        <v>11</v>
      </c>
      <c r="G724" s="3">
        <v>12979.36</v>
      </c>
      <c r="H724" t="str" cm="1">
        <f t="array" ref="H724">_xlfn.IFS(A724&lt;13, "Child", A724&lt;20, "Teenager", A724&lt;40, "Young Adult", A724&lt;60, "Senior Adult", A724&gt;=60, "Elderly")</f>
        <v>Elderly</v>
      </c>
    </row>
    <row r="725" spans="1:8" x14ac:dyDescent="0.25">
      <c r="A725" s="1">
        <v>19</v>
      </c>
      <c r="B725" t="s">
        <v>8</v>
      </c>
      <c r="C725" s="2">
        <v>35.4</v>
      </c>
      <c r="D725" s="1">
        <v>0</v>
      </c>
      <c r="E725" t="s">
        <v>10</v>
      </c>
      <c r="F725" t="s">
        <v>11</v>
      </c>
      <c r="G725" s="3">
        <v>1263.25</v>
      </c>
      <c r="H725" t="str" cm="1">
        <f t="array" ref="H725">_xlfn.IFS(A725&lt;13, "Child", A725&lt;20, "Teenager", A725&lt;40, "Young Adult", A725&lt;60, "Senior Adult", A725&gt;=60, "Elderly")</f>
        <v>Teenager</v>
      </c>
    </row>
    <row r="726" spans="1:8" x14ac:dyDescent="0.25">
      <c r="A726" s="1">
        <v>50</v>
      </c>
      <c r="B726" t="s">
        <v>7</v>
      </c>
      <c r="C726" s="2">
        <v>27.1</v>
      </c>
      <c r="D726" s="1">
        <v>1</v>
      </c>
      <c r="E726" t="s">
        <v>10</v>
      </c>
      <c r="F726" t="s">
        <v>14</v>
      </c>
      <c r="G726" s="3">
        <v>10106.129999999999</v>
      </c>
      <c r="H726" t="str" cm="1">
        <f t="array" ref="H726">_xlfn.IFS(A726&lt;13, "Child", A726&lt;20, "Teenager", A726&lt;40, "Young Adult", A726&lt;60, "Senior Adult", A726&gt;=60, "Elderly")</f>
        <v>Senior Adult</v>
      </c>
    </row>
    <row r="727" spans="1:8" x14ac:dyDescent="0.25">
      <c r="A727" s="1">
        <v>30</v>
      </c>
      <c r="B727" t="s">
        <v>7</v>
      </c>
      <c r="C727" s="2">
        <v>39.1</v>
      </c>
      <c r="D727" s="1">
        <v>3</v>
      </c>
      <c r="E727" t="s">
        <v>9</v>
      </c>
      <c r="F727" t="s">
        <v>12</v>
      </c>
      <c r="G727" s="3">
        <v>40932.43</v>
      </c>
      <c r="H727" t="str" cm="1">
        <f t="array" ref="H727">_xlfn.IFS(A727&lt;13, "Child", A727&lt;20, "Teenager", A727&lt;40, "Young Adult", A727&lt;60, "Senior Adult", A727&gt;=60, "Elderly")</f>
        <v>Young Adult</v>
      </c>
    </row>
    <row r="728" spans="1:8" x14ac:dyDescent="0.25">
      <c r="A728" s="1">
        <v>41</v>
      </c>
      <c r="B728" t="s">
        <v>8</v>
      </c>
      <c r="C728" s="2">
        <v>28.4</v>
      </c>
      <c r="D728" s="1">
        <v>1</v>
      </c>
      <c r="E728" t="s">
        <v>10</v>
      </c>
      <c r="F728" t="s">
        <v>13</v>
      </c>
      <c r="G728" s="3">
        <v>6664.69</v>
      </c>
      <c r="H728" t="str" cm="1">
        <f t="array" ref="H728">_xlfn.IFS(A728&lt;13, "Child", A728&lt;20, "Teenager", A728&lt;40, "Young Adult", A728&lt;60, "Senior Adult", A728&gt;=60, "Elderly")</f>
        <v>Senior Adult</v>
      </c>
    </row>
    <row r="729" spans="1:8" x14ac:dyDescent="0.25">
      <c r="A729" s="1">
        <v>29</v>
      </c>
      <c r="B729" t="s">
        <v>7</v>
      </c>
      <c r="C729" s="2">
        <v>21.8</v>
      </c>
      <c r="D729" s="1">
        <v>1</v>
      </c>
      <c r="E729" t="s">
        <v>9</v>
      </c>
      <c r="F729" t="s">
        <v>14</v>
      </c>
      <c r="G729" s="3">
        <v>16657.72</v>
      </c>
      <c r="H729" t="str" cm="1">
        <f t="array" ref="H729">_xlfn.IFS(A729&lt;13, "Child", A729&lt;20, "Teenager", A729&lt;40, "Young Adult", A729&lt;60, "Senior Adult", A729&gt;=60, "Elderly")</f>
        <v>Young Adult</v>
      </c>
    </row>
    <row r="730" spans="1:8" x14ac:dyDescent="0.25">
      <c r="A730" s="1">
        <v>18</v>
      </c>
      <c r="B730" t="s">
        <v>7</v>
      </c>
      <c r="C730" s="2">
        <v>40.299999999999997</v>
      </c>
      <c r="D730" s="1">
        <v>0</v>
      </c>
      <c r="E730" t="s">
        <v>10</v>
      </c>
      <c r="F730" t="s">
        <v>14</v>
      </c>
      <c r="G730" s="3">
        <v>2217.6</v>
      </c>
      <c r="H730" t="str" cm="1">
        <f t="array" ref="H730">_xlfn.IFS(A730&lt;13, "Child", A730&lt;20, "Teenager", A730&lt;40, "Young Adult", A730&lt;60, "Senior Adult", A730&gt;=60, "Elderly")</f>
        <v>Teenager</v>
      </c>
    </row>
    <row r="731" spans="1:8" x14ac:dyDescent="0.25">
      <c r="A731" s="1">
        <v>41</v>
      </c>
      <c r="B731" t="s">
        <v>7</v>
      </c>
      <c r="C731" s="2">
        <v>36.1</v>
      </c>
      <c r="D731" s="1">
        <v>1</v>
      </c>
      <c r="E731" t="s">
        <v>10</v>
      </c>
      <c r="F731" t="s">
        <v>12</v>
      </c>
      <c r="G731" s="3">
        <v>6781.35</v>
      </c>
      <c r="H731" t="str" cm="1">
        <f t="array" ref="H731">_xlfn.IFS(A731&lt;13, "Child", A731&lt;20, "Teenager", A731&lt;40, "Young Adult", A731&lt;60, "Senior Adult", A731&gt;=60, "Elderly")</f>
        <v>Senior Adult</v>
      </c>
    </row>
    <row r="732" spans="1:8" x14ac:dyDescent="0.25">
      <c r="A732" s="1">
        <v>35</v>
      </c>
      <c r="B732" t="s">
        <v>8</v>
      </c>
      <c r="C732" s="2">
        <v>24.4</v>
      </c>
      <c r="D732" s="1">
        <v>3</v>
      </c>
      <c r="E732" t="s">
        <v>9</v>
      </c>
      <c r="F732" t="s">
        <v>12</v>
      </c>
      <c r="G732" s="3">
        <v>19362</v>
      </c>
      <c r="H732" t="str" cm="1">
        <f t="array" ref="H732">_xlfn.IFS(A732&lt;13, "Child", A732&lt;20, "Teenager", A732&lt;40, "Young Adult", A732&lt;60, "Senior Adult", A732&gt;=60, "Elderly")</f>
        <v>Young Adult</v>
      </c>
    </row>
    <row r="733" spans="1:8" x14ac:dyDescent="0.25">
      <c r="A733" s="1">
        <v>53</v>
      </c>
      <c r="B733" t="s">
        <v>8</v>
      </c>
      <c r="C733" s="2">
        <v>21.4</v>
      </c>
      <c r="D733" s="1">
        <v>1</v>
      </c>
      <c r="E733" t="s">
        <v>10</v>
      </c>
      <c r="F733" t="s">
        <v>11</v>
      </c>
      <c r="G733" s="3">
        <v>10065.41</v>
      </c>
      <c r="H733" t="str" cm="1">
        <f t="array" ref="H733">_xlfn.IFS(A733&lt;13, "Child", A733&lt;20, "Teenager", A733&lt;40, "Young Adult", A733&lt;60, "Senior Adult", A733&gt;=60, "Elderly")</f>
        <v>Senior Adult</v>
      </c>
    </row>
    <row r="734" spans="1:8" x14ac:dyDescent="0.25">
      <c r="A734" s="1">
        <v>24</v>
      </c>
      <c r="B734" t="s">
        <v>7</v>
      </c>
      <c r="C734" s="2">
        <v>30.1</v>
      </c>
      <c r="D734" s="1">
        <v>3</v>
      </c>
      <c r="E734" t="s">
        <v>10</v>
      </c>
      <c r="F734" t="s">
        <v>11</v>
      </c>
      <c r="G734" s="3">
        <v>4234.93</v>
      </c>
      <c r="H734" t="str" cm="1">
        <f t="array" ref="H734">_xlfn.IFS(A734&lt;13, "Child", A734&lt;20, "Teenager", A734&lt;40, "Young Adult", A734&lt;60, "Senior Adult", A734&gt;=60, "Elderly")</f>
        <v>Young Adult</v>
      </c>
    </row>
    <row r="735" spans="1:8" x14ac:dyDescent="0.25">
      <c r="A735" s="1">
        <v>48</v>
      </c>
      <c r="B735" t="s">
        <v>7</v>
      </c>
      <c r="C735" s="2">
        <v>27.3</v>
      </c>
      <c r="D735" s="1">
        <v>1</v>
      </c>
      <c r="E735" t="s">
        <v>10</v>
      </c>
      <c r="F735" t="s">
        <v>14</v>
      </c>
      <c r="G735" s="3">
        <v>9447.25</v>
      </c>
      <c r="H735" t="str" cm="1">
        <f t="array" ref="H735">_xlfn.IFS(A735&lt;13, "Child", A735&lt;20, "Teenager", A735&lt;40, "Young Adult", A735&lt;60, "Senior Adult", A735&gt;=60, "Elderly")</f>
        <v>Senior Adult</v>
      </c>
    </row>
    <row r="736" spans="1:8" x14ac:dyDescent="0.25">
      <c r="A736" s="1">
        <v>59</v>
      </c>
      <c r="B736" t="s">
        <v>7</v>
      </c>
      <c r="C736" s="2">
        <v>32.1</v>
      </c>
      <c r="D736" s="1">
        <v>3</v>
      </c>
      <c r="E736" t="s">
        <v>10</v>
      </c>
      <c r="F736" t="s">
        <v>11</v>
      </c>
      <c r="G736" s="3">
        <v>14007.22</v>
      </c>
      <c r="H736" t="str" cm="1">
        <f t="array" ref="H736">_xlfn.IFS(A736&lt;13, "Child", A736&lt;20, "Teenager", A736&lt;40, "Young Adult", A736&lt;60, "Senior Adult", A736&gt;=60, "Elderly")</f>
        <v>Senior Adult</v>
      </c>
    </row>
    <row r="737" spans="1:8" x14ac:dyDescent="0.25">
      <c r="A737" s="1">
        <v>49</v>
      </c>
      <c r="B737" t="s">
        <v>7</v>
      </c>
      <c r="C737" s="2">
        <v>34.799999999999997</v>
      </c>
      <c r="D737" s="1">
        <v>1</v>
      </c>
      <c r="E737" t="s">
        <v>10</v>
      </c>
      <c r="F737" t="s">
        <v>13</v>
      </c>
      <c r="G737" s="3">
        <v>9583.89</v>
      </c>
      <c r="H737" t="str" cm="1">
        <f t="array" ref="H737">_xlfn.IFS(A737&lt;13, "Child", A737&lt;20, "Teenager", A737&lt;40, "Young Adult", A737&lt;60, "Senior Adult", A737&gt;=60, "Elderly")</f>
        <v>Senior Adult</v>
      </c>
    </row>
    <row r="738" spans="1:8" x14ac:dyDescent="0.25">
      <c r="A738" s="1">
        <v>37</v>
      </c>
      <c r="B738" t="s">
        <v>7</v>
      </c>
      <c r="C738" s="2">
        <v>38.4</v>
      </c>
      <c r="D738" s="1">
        <v>0</v>
      </c>
      <c r="E738" t="s">
        <v>9</v>
      </c>
      <c r="F738" t="s">
        <v>12</v>
      </c>
      <c r="G738" s="3">
        <v>40419.019999999997</v>
      </c>
      <c r="H738" t="str" cm="1">
        <f t="array" ref="H738">_xlfn.IFS(A738&lt;13, "Child", A738&lt;20, "Teenager", A738&lt;40, "Young Adult", A738&lt;60, "Senior Adult", A738&gt;=60, "Elderly")</f>
        <v>Young Adult</v>
      </c>
    </row>
    <row r="739" spans="1:8" x14ac:dyDescent="0.25">
      <c r="A739" s="1">
        <v>26</v>
      </c>
      <c r="B739" t="s">
        <v>8</v>
      </c>
      <c r="C739" s="2">
        <v>23.7</v>
      </c>
      <c r="D739" s="1">
        <v>2</v>
      </c>
      <c r="E739" t="s">
        <v>10</v>
      </c>
      <c r="F739" t="s">
        <v>11</v>
      </c>
      <c r="G739" s="3">
        <v>3484.33</v>
      </c>
      <c r="H739" t="str" cm="1">
        <f t="array" ref="H739">_xlfn.IFS(A739&lt;13, "Child", A739&lt;20, "Teenager", A739&lt;40, "Young Adult", A739&lt;60, "Senior Adult", A739&gt;=60, "Elderly")</f>
        <v>Young Adult</v>
      </c>
    </row>
    <row r="740" spans="1:8" x14ac:dyDescent="0.25">
      <c r="A740" s="1">
        <v>23</v>
      </c>
      <c r="B740" t="s">
        <v>8</v>
      </c>
      <c r="C740" s="2">
        <v>31.7</v>
      </c>
      <c r="D740" s="1">
        <v>3</v>
      </c>
      <c r="E740" t="s">
        <v>9</v>
      </c>
      <c r="F740" t="s">
        <v>14</v>
      </c>
      <c r="G740" s="3">
        <v>36189.1</v>
      </c>
      <c r="H740" t="str" cm="1">
        <f t="array" ref="H740">_xlfn.IFS(A740&lt;13, "Child", A740&lt;20, "Teenager", A740&lt;40, "Young Adult", A740&lt;60, "Senior Adult", A740&gt;=60, "Elderly")</f>
        <v>Young Adult</v>
      </c>
    </row>
    <row r="741" spans="1:8" x14ac:dyDescent="0.25">
      <c r="A741" s="1">
        <v>29</v>
      </c>
      <c r="B741" t="s">
        <v>8</v>
      </c>
      <c r="C741" s="2">
        <v>35.5</v>
      </c>
      <c r="D741" s="1">
        <v>2</v>
      </c>
      <c r="E741" t="s">
        <v>9</v>
      </c>
      <c r="F741" t="s">
        <v>11</v>
      </c>
      <c r="G741" s="3">
        <v>44585.46</v>
      </c>
      <c r="H741" t="str" cm="1">
        <f t="array" ref="H741">_xlfn.IFS(A741&lt;13, "Child", A741&lt;20, "Teenager", A741&lt;40, "Young Adult", A741&lt;60, "Senior Adult", A741&gt;=60, "Elderly")</f>
        <v>Young Adult</v>
      </c>
    </row>
    <row r="742" spans="1:8" x14ac:dyDescent="0.25">
      <c r="A742" s="1">
        <v>45</v>
      </c>
      <c r="B742" t="s">
        <v>8</v>
      </c>
      <c r="C742" s="2">
        <v>24</v>
      </c>
      <c r="D742" s="1">
        <v>2</v>
      </c>
      <c r="E742" t="s">
        <v>10</v>
      </c>
      <c r="F742" t="s">
        <v>14</v>
      </c>
      <c r="G742" s="3">
        <v>8604.48</v>
      </c>
      <c r="H742" t="str" cm="1">
        <f t="array" ref="H742">_xlfn.IFS(A742&lt;13, "Child", A742&lt;20, "Teenager", A742&lt;40, "Young Adult", A742&lt;60, "Senior Adult", A742&gt;=60, "Elderly")</f>
        <v>Senior Adult</v>
      </c>
    </row>
    <row r="743" spans="1:8" x14ac:dyDescent="0.25">
      <c r="A743" s="1">
        <v>27</v>
      </c>
      <c r="B743" t="s">
        <v>8</v>
      </c>
      <c r="C743" s="2">
        <v>29.2</v>
      </c>
      <c r="D743" s="1">
        <v>0</v>
      </c>
      <c r="E743" t="s">
        <v>9</v>
      </c>
      <c r="F743" t="s">
        <v>12</v>
      </c>
      <c r="G743" s="3">
        <v>18246.5</v>
      </c>
      <c r="H743" t="str" cm="1">
        <f t="array" ref="H743">_xlfn.IFS(A743&lt;13, "Child", A743&lt;20, "Teenager", A743&lt;40, "Young Adult", A743&lt;60, "Senior Adult", A743&gt;=60, "Elderly")</f>
        <v>Young Adult</v>
      </c>
    </row>
    <row r="744" spans="1:8" x14ac:dyDescent="0.25">
      <c r="A744" s="1">
        <v>53</v>
      </c>
      <c r="B744" t="s">
        <v>8</v>
      </c>
      <c r="C744" s="2">
        <v>34.1</v>
      </c>
      <c r="D744" s="1">
        <v>0</v>
      </c>
      <c r="E744" t="s">
        <v>9</v>
      </c>
      <c r="F744" t="s">
        <v>14</v>
      </c>
      <c r="G744" s="3">
        <v>43254.42</v>
      </c>
      <c r="H744" t="str" cm="1">
        <f t="array" ref="H744">_xlfn.IFS(A744&lt;13, "Child", A744&lt;20, "Teenager", A744&lt;40, "Young Adult", A744&lt;60, "Senior Adult", A744&gt;=60, "Elderly")</f>
        <v>Senior Adult</v>
      </c>
    </row>
    <row r="745" spans="1:8" x14ac:dyDescent="0.25">
      <c r="A745" s="1">
        <v>31</v>
      </c>
      <c r="B745" t="s">
        <v>7</v>
      </c>
      <c r="C745" s="2">
        <v>26.6</v>
      </c>
      <c r="D745" s="1">
        <v>0</v>
      </c>
      <c r="E745" t="s">
        <v>10</v>
      </c>
      <c r="F745" t="s">
        <v>12</v>
      </c>
      <c r="G745" s="3">
        <v>3757.84</v>
      </c>
      <c r="H745" t="str" cm="1">
        <f t="array" ref="H745">_xlfn.IFS(A745&lt;13, "Child", A745&lt;20, "Teenager", A745&lt;40, "Young Adult", A745&lt;60, "Senior Adult", A745&gt;=60, "Elderly")</f>
        <v>Young Adult</v>
      </c>
    </row>
    <row r="746" spans="1:8" x14ac:dyDescent="0.25">
      <c r="A746" s="1">
        <v>50</v>
      </c>
      <c r="B746" t="s">
        <v>8</v>
      </c>
      <c r="C746" s="2">
        <v>26.4</v>
      </c>
      <c r="D746" s="1">
        <v>0</v>
      </c>
      <c r="E746" t="s">
        <v>10</v>
      </c>
      <c r="F746" t="s">
        <v>13</v>
      </c>
      <c r="G746" s="3">
        <v>8827.2099999999991</v>
      </c>
      <c r="H746" t="str" cm="1">
        <f t="array" ref="H746">_xlfn.IFS(A746&lt;13, "Child", A746&lt;20, "Teenager", A746&lt;40, "Young Adult", A746&lt;60, "Senior Adult", A746&gt;=60, "Elderly")</f>
        <v>Senior Adult</v>
      </c>
    </row>
    <row r="747" spans="1:8" x14ac:dyDescent="0.25">
      <c r="A747" s="1">
        <v>50</v>
      </c>
      <c r="B747" t="s">
        <v>7</v>
      </c>
      <c r="C747" s="2">
        <v>30.1</v>
      </c>
      <c r="D747" s="1">
        <v>1</v>
      </c>
      <c r="E747" t="s">
        <v>10</v>
      </c>
      <c r="F747" t="s">
        <v>13</v>
      </c>
      <c r="G747" s="3">
        <v>9910.36</v>
      </c>
      <c r="H747" t="str" cm="1">
        <f t="array" ref="H747">_xlfn.IFS(A747&lt;13, "Child", A747&lt;20, "Teenager", A747&lt;40, "Young Adult", A747&lt;60, "Senior Adult", A747&gt;=60, "Elderly")</f>
        <v>Senior Adult</v>
      </c>
    </row>
    <row r="748" spans="1:8" x14ac:dyDescent="0.25">
      <c r="A748" s="1">
        <v>34</v>
      </c>
      <c r="B748" t="s">
        <v>8</v>
      </c>
      <c r="C748" s="2">
        <v>27</v>
      </c>
      <c r="D748" s="1">
        <v>2</v>
      </c>
      <c r="E748" t="s">
        <v>10</v>
      </c>
      <c r="F748" t="s">
        <v>11</v>
      </c>
      <c r="G748" s="3">
        <v>11737.85</v>
      </c>
      <c r="H748" t="str" cm="1">
        <f t="array" ref="H748">_xlfn.IFS(A748&lt;13, "Child", A748&lt;20, "Teenager", A748&lt;40, "Young Adult", A748&lt;60, "Senior Adult", A748&gt;=60, "Elderly")</f>
        <v>Young Adult</v>
      </c>
    </row>
    <row r="749" spans="1:8" x14ac:dyDescent="0.25">
      <c r="A749" s="1">
        <v>19</v>
      </c>
      <c r="B749" t="s">
        <v>8</v>
      </c>
      <c r="C749" s="2">
        <v>21.8</v>
      </c>
      <c r="D749" s="1">
        <v>0</v>
      </c>
      <c r="E749" t="s">
        <v>10</v>
      </c>
      <c r="F749" t="s">
        <v>13</v>
      </c>
      <c r="G749" s="3">
        <v>1627.28</v>
      </c>
      <c r="H749" t="str" cm="1">
        <f t="array" ref="H749">_xlfn.IFS(A749&lt;13, "Child", A749&lt;20, "Teenager", A749&lt;40, "Young Adult", A749&lt;60, "Senior Adult", A749&gt;=60, "Elderly")</f>
        <v>Teenager</v>
      </c>
    </row>
    <row r="750" spans="1:8" x14ac:dyDescent="0.25">
      <c r="A750" s="1">
        <v>47</v>
      </c>
      <c r="B750" t="s">
        <v>7</v>
      </c>
      <c r="C750" s="2">
        <v>36</v>
      </c>
      <c r="D750" s="1">
        <v>1</v>
      </c>
      <c r="E750" t="s">
        <v>10</v>
      </c>
      <c r="F750" t="s">
        <v>11</v>
      </c>
      <c r="G750" s="3">
        <v>8556.91</v>
      </c>
      <c r="H750" t="str" cm="1">
        <f t="array" ref="H750">_xlfn.IFS(A750&lt;13, "Child", A750&lt;20, "Teenager", A750&lt;40, "Young Adult", A750&lt;60, "Senior Adult", A750&gt;=60, "Elderly")</f>
        <v>Senior Adult</v>
      </c>
    </row>
    <row r="751" spans="1:8" x14ac:dyDescent="0.25">
      <c r="A751" s="1">
        <v>28</v>
      </c>
      <c r="B751" t="s">
        <v>8</v>
      </c>
      <c r="C751" s="2">
        <v>30.9</v>
      </c>
      <c r="D751" s="1">
        <v>0</v>
      </c>
      <c r="E751" t="s">
        <v>10</v>
      </c>
      <c r="F751" t="s">
        <v>13</v>
      </c>
      <c r="G751" s="3">
        <v>3062.51</v>
      </c>
      <c r="H751" t="str" cm="1">
        <f t="array" ref="H751">_xlfn.IFS(A751&lt;13, "Child", A751&lt;20, "Teenager", A751&lt;40, "Young Adult", A751&lt;60, "Senior Adult", A751&gt;=60, "Elderly")</f>
        <v>Young Adult</v>
      </c>
    </row>
    <row r="752" spans="1:8" x14ac:dyDescent="0.25">
      <c r="A752" s="1">
        <v>37</v>
      </c>
      <c r="B752" t="s">
        <v>7</v>
      </c>
      <c r="C752" s="2">
        <v>26.4</v>
      </c>
      <c r="D752" s="1">
        <v>0</v>
      </c>
      <c r="E752" t="s">
        <v>9</v>
      </c>
      <c r="F752" t="s">
        <v>12</v>
      </c>
      <c r="G752" s="3">
        <v>19539.240000000002</v>
      </c>
      <c r="H752" t="str" cm="1">
        <f t="array" ref="H752">_xlfn.IFS(A752&lt;13, "Child", A752&lt;20, "Teenager", A752&lt;40, "Young Adult", A752&lt;60, "Senior Adult", A752&gt;=60, "Elderly")</f>
        <v>Young Adult</v>
      </c>
    </row>
    <row r="753" spans="1:8" x14ac:dyDescent="0.25">
      <c r="A753" s="1">
        <v>21</v>
      </c>
      <c r="B753" t="s">
        <v>8</v>
      </c>
      <c r="C753" s="2">
        <v>29</v>
      </c>
      <c r="D753" s="1">
        <v>0</v>
      </c>
      <c r="E753" t="s">
        <v>10</v>
      </c>
      <c r="F753" t="s">
        <v>13</v>
      </c>
      <c r="G753" s="3">
        <v>1906.36</v>
      </c>
      <c r="H753" t="str" cm="1">
        <f t="array" ref="H753">_xlfn.IFS(A753&lt;13, "Child", A753&lt;20, "Teenager", A753&lt;40, "Young Adult", A753&lt;60, "Senior Adult", A753&gt;=60, "Elderly")</f>
        <v>Young Adult</v>
      </c>
    </row>
    <row r="754" spans="1:8" x14ac:dyDescent="0.25">
      <c r="A754" s="1">
        <v>64</v>
      </c>
      <c r="B754" t="s">
        <v>8</v>
      </c>
      <c r="C754" s="2">
        <v>37.9</v>
      </c>
      <c r="D754" s="1">
        <v>0</v>
      </c>
      <c r="E754" t="s">
        <v>10</v>
      </c>
      <c r="F754" t="s">
        <v>13</v>
      </c>
      <c r="G754" s="3">
        <v>14210.54</v>
      </c>
      <c r="H754" t="str" cm="1">
        <f t="array" ref="H754">_xlfn.IFS(A754&lt;13, "Child", A754&lt;20, "Teenager", A754&lt;40, "Young Adult", A754&lt;60, "Senior Adult", A754&gt;=60, "Elderly")</f>
        <v>Elderly</v>
      </c>
    </row>
    <row r="755" spans="1:8" x14ac:dyDescent="0.25">
      <c r="A755" s="1">
        <v>58</v>
      </c>
      <c r="B755" t="s">
        <v>7</v>
      </c>
      <c r="C755" s="2">
        <v>22.8</v>
      </c>
      <c r="D755" s="1">
        <v>0</v>
      </c>
      <c r="E755" t="s">
        <v>10</v>
      </c>
      <c r="F755" t="s">
        <v>12</v>
      </c>
      <c r="G755" s="3">
        <v>11833.78</v>
      </c>
      <c r="H755" t="str" cm="1">
        <f t="array" ref="H755">_xlfn.IFS(A755&lt;13, "Child", A755&lt;20, "Teenager", A755&lt;40, "Young Adult", A755&lt;60, "Senior Adult", A755&gt;=60, "Elderly")</f>
        <v>Senior Adult</v>
      </c>
    </row>
    <row r="756" spans="1:8" x14ac:dyDescent="0.25">
      <c r="A756" s="1">
        <v>24</v>
      </c>
      <c r="B756" t="s">
        <v>8</v>
      </c>
      <c r="C756" s="2">
        <v>33.6</v>
      </c>
      <c r="D756" s="1">
        <v>4</v>
      </c>
      <c r="E756" t="s">
        <v>10</v>
      </c>
      <c r="F756" t="s">
        <v>14</v>
      </c>
      <c r="G756" s="3">
        <v>17128.43</v>
      </c>
      <c r="H756" t="str" cm="1">
        <f t="array" ref="H756">_xlfn.IFS(A756&lt;13, "Child", A756&lt;20, "Teenager", A756&lt;40, "Young Adult", A756&lt;60, "Senior Adult", A756&gt;=60, "Elderly")</f>
        <v>Young Adult</v>
      </c>
    </row>
    <row r="757" spans="1:8" x14ac:dyDescent="0.25">
      <c r="A757" s="1">
        <v>31</v>
      </c>
      <c r="B757" t="s">
        <v>8</v>
      </c>
      <c r="C757" s="2">
        <v>27.6</v>
      </c>
      <c r="D757" s="1">
        <v>2</v>
      </c>
      <c r="E757" t="s">
        <v>10</v>
      </c>
      <c r="F757" t="s">
        <v>14</v>
      </c>
      <c r="G757" s="3">
        <v>5031.2700000000004</v>
      </c>
      <c r="H757" t="str" cm="1">
        <f t="array" ref="H757">_xlfn.IFS(A757&lt;13, "Child", A757&lt;20, "Teenager", A757&lt;40, "Young Adult", A757&lt;60, "Senior Adult", A757&gt;=60, "Elderly")</f>
        <v>Young Adult</v>
      </c>
    </row>
    <row r="758" spans="1:8" x14ac:dyDescent="0.25">
      <c r="A758" s="1">
        <v>39</v>
      </c>
      <c r="B758" t="s">
        <v>7</v>
      </c>
      <c r="C758" s="2">
        <v>22.8</v>
      </c>
      <c r="D758" s="1">
        <v>3</v>
      </c>
      <c r="E758" t="s">
        <v>10</v>
      </c>
      <c r="F758" t="s">
        <v>14</v>
      </c>
      <c r="G758" s="3">
        <v>7985.82</v>
      </c>
      <c r="H758" t="str" cm="1">
        <f t="array" ref="H758">_xlfn.IFS(A758&lt;13, "Child", A758&lt;20, "Teenager", A758&lt;40, "Young Adult", A758&lt;60, "Senior Adult", A758&gt;=60, "Elderly")</f>
        <v>Young Adult</v>
      </c>
    </row>
    <row r="759" spans="1:8" x14ac:dyDescent="0.25">
      <c r="A759" s="1">
        <v>47</v>
      </c>
      <c r="B759" t="s">
        <v>7</v>
      </c>
      <c r="C759" s="2">
        <v>27.8</v>
      </c>
      <c r="D759" s="1">
        <v>0</v>
      </c>
      <c r="E759" t="s">
        <v>9</v>
      </c>
      <c r="F759" t="s">
        <v>12</v>
      </c>
      <c r="G759" s="3">
        <v>23065.42</v>
      </c>
      <c r="H759" t="str" cm="1">
        <f t="array" ref="H759">_xlfn.IFS(A759&lt;13, "Child", A759&lt;20, "Teenager", A759&lt;40, "Young Adult", A759&lt;60, "Senior Adult", A759&gt;=60, "Elderly")</f>
        <v>Senior Adult</v>
      </c>
    </row>
    <row r="760" spans="1:8" x14ac:dyDescent="0.25">
      <c r="A760" s="1">
        <v>30</v>
      </c>
      <c r="B760" t="s">
        <v>8</v>
      </c>
      <c r="C760" s="2">
        <v>37.4</v>
      </c>
      <c r="D760" s="1">
        <v>3</v>
      </c>
      <c r="E760" t="s">
        <v>10</v>
      </c>
      <c r="F760" t="s">
        <v>14</v>
      </c>
      <c r="G760" s="3">
        <v>5428.73</v>
      </c>
      <c r="H760" t="str" cm="1">
        <f t="array" ref="H760">_xlfn.IFS(A760&lt;13, "Child", A760&lt;20, "Teenager", A760&lt;40, "Young Adult", A760&lt;60, "Senior Adult", A760&gt;=60, "Elderly")</f>
        <v>Young Adult</v>
      </c>
    </row>
    <row r="761" spans="1:8" x14ac:dyDescent="0.25">
      <c r="A761" s="1">
        <v>18</v>
      </c>
      <c r="B761" t="s">
        <v>8</v>
      </c>
      <c r="C761" s="2">
        <v>38.200000000000003</v>
      </c>
      <c r="D761" s="1">
        <v>0</v>
      </c>
      <c r="E761" t="s">
        <v>9</v>
      </c>
      <c r="F761" t="s">
        <v>12</v>
      </c>
      <c r="G761" s="3">
        <v>36307.800000000003</v>
      </c>
      <c r="H761" t="str" cm="1">
        <f t="array" ref="H761">_xlfn.IFS(A761&lt;13, "Child", A761&lt;20, "Teenager", A761&lt;40, "Young Adult", A761&lt;60, "Senior Adult", A761&gt;=60, "Elderly")</f>
        <v>Teenager</v>
      </c>
    </row>
    <row r="762" spans="1:8" x14ac:dyDescent="0.25">
      <c r="A762" s="1">
        <v>22</v>
      </c>
      <c r="B762" t="s">
        <v>7</v>
      </c>
      <c r="C762" s="2">
        <v>34.6</v>
      </c>
      <c r="D762" s="1">
        <v>2</v>
      </c>
      <c r="E762" t="s">
        <v>10</v>
      </c>
      <c r="F762" t="s">
        <v>14</v>
      </c>
      <c r="G762" s="3">
        <v>3925.76</v>
      </c>
      <c r="H762" t="str" cm="1">
        <f t="array" ref="H762">_xlfn.IFS(A762&lt;13, "Child", A762&lt;20, "Teenager", A762&lt;40, "Young Adult", A762&lt;60, "Senior Adult", A762&gt;=60, "Elderly")</f>
        <v>Young Adult</v>
      </c>
    </row>
    <row r="763" spans="1:8" x14ac:dyDescent="0.25">
      <c r="A763" s="1">
        <v>23</v>
      </c>
      <c r="B763" t="s">
        <v>8</v>
      </c>
      <c r="C763" s="2">
        <v>35.200000000000003</v>
      </c>
      <c r="D763" s="1">
        <v>1</v>
      </c>
      <c r="E763" t="s">
        <v>10</v>
      </c>
      <c r="F763" t="s">
        <v>11</v>
      </c>
      <c r="G763" s="3">
        <v>2416.96</v>
      </c>
      <c r="H763" t="str" cm="1">
        <f t="array" ref="H763">_xlfn.IFS(A763&lt;13, "Child", A763&lt;20, "Teenager", A763&lt;40, "Young Adult", A763&lt;60, "Senior Adult", A763&gt;=60, "Elderly")</f>
        <v>Young Adult</v>
      </c>
    </row>
    <row r="764" spans="1:8" x14ac:dyDescent="0.25">
      <c r="A764" s="1">
        <v>33</v>
      </c>
      <c r="B764" t="s">
        <v>8</v>
      </c>
      <c r="C764" s="2">
        <v>27.1</v>
      </c>
      <c r="D764" s="1">
        <v>1</v>
      </c>
      <c r="E764" t="s">
        <v>9</v>
      </c>
      <c r="F764" t="s">
        <v>11</v>
      </c>
      <c r="G764" s="3">
        <v>19040.88</v>
      </c>
      <c r="H764" t="str" cm="1">
        <f t="array" ref="H764">_xlfn.IFS(A764&lt;13, "Child", A764&lt;20, "Teenager", A764&lt;40, "Young Adult", A764&lt;60, "Senior Adult", A764&gt;=60, "Elderly")</f>
        <v>Young Adult</v>
      </c>
    </row>
    <row r="765" spans="1:8" x14ac:dyDescent="0.25">
      <c r="A765" s="1">
        <v>27</v>
      </c>
      <c r="B765" t="s">
        <v>8</v>
      </c>
      <c r="C765" s="2">
        <v>26</v>
      </c>
      <c r="D765" s="1">
        <v>0</v>
      </c>
      <c r="E765" t="s">
        <v>10</v>
      </c>
      <c r="F765" t="s">
        <v>14</v>
      </c>
      <c r="G765" s="3">
        <v>3070.81</v>
      </c>
      <c r="H765" t="str" cm="1">
        <f t="array" ref="H765">_xlfn.IFS(A765&lt;13, "Child", A765&lt;20, "Teenager", A765&lt;40, "Young Adult", A765&lt;60, "Senior Adult", A765&gt;=60, "Elderly")</f>
        <v>Young Adult</v>
      </c>
    </row>
    <row r="766" spans="1:8" x14ac:dyDescent="0.25">
      <c r="A766" s="1">
        <v>45</v>
      </c>
      <c r="B766" t="s">
        <v>7</v>
      </c>
      <c r="C766" s="2">
        <v>25.2</v>
      </c>
      <c r="D766" s="1">
        <v>2</v>
      </c>
      <c r="E766" t="s">
        <v>10</v>
      </c>
      <c r="F766" t="s">
        <v>14</v>
      </c>
      <c r="G766" s="3">
        <v>9095.07</v>
      </c>
      <c r="H766" t="str" cm="1">
        <f t="array" ref="H766">_xlfn.IFS(A766&lt;13, "Child", A766&lt;20, "Teenager", A766&lt;40, "Young Adult", A766&lt;60, "Senior Adult", A766&gt;=60, "Elderly")</f>
        <v>Senior Adult</v>
      </c>
    </row>
    <row r="767" spans="1:8" x14ac:dyDescent="0.25">
      <c r="A767" s="1">
        <v>57</v>
      </c>
      <c r="B767" t="s">
        <v>7</v>
      </c>
      <c r="C767" s="2">
        <v>31.8</v>
      </c>
      <c r="D767" s="1">
        <v>0</v>
      </c>
      <c r="E767" t="s">
        <v>10</v>
      </c>
      <c r="F767" t="s">
        <v>13</v>
      </c>
      <c r="G767" s="3">
        <v>11842.62</v>
      </c>
      <c r="H767" t="str" cm="1">
        <f t="array" ref="H767">_xlfn.IFS(A767&lt;13, "Child", A767&lt;20, "Teenager", A767&lt;40, "Young Adult", A767&lt;60, "Senior Adult", A767&gt;=60, "Elderly")</f>
        <v>Senior Adult</v>
      </c>
    </row>
    <row r="768" spans="1:8" x14ac:dyDescent="0.25">
      <c r="A768" s="1">
        <v>47</v>
      </c>
      <c r="B768" t="s">
        <v>8</v>
      </c>
      <c r="C768" s="2">
        <v>32.299999999999997</v>
      </c>
      <c r="D768" s="1">
        <v>1</v>
      </c>
      <c r="E768" t="s">
        <v>10</v>
      </c>
      <c r="F768" t="s">
        <v>11</v>
      </c>
      <c r="G768" s="3">
        <v>8062.76</v>
      </c>
      <c r="H768" t="str" cm="1">
        <f t="array" ref="H768">_xlfn.IFS(A768&lt;13, "Child", A768&lt;20, "Teenager", A768&lt;40, "Young Adult", A768&lt;60, "Senior Adult", A768&gt;=60, "Elderly")</f>
        <v>Senior Adult</v>
      </c>
    </row>
    <row r="769" spans="1:8" x14ac:dyDescent="0.25">
      <c r="A769" s="1">
        <v>42</v>
      </c>
      <c r="B769" t="s">
        <v>7</v>
      </c>
      <c r="C769" s="2">
        <v>29</v>
      </c>
      <c r="D769" s="1">
        <v>1</v>
      </c>
      <c r="E769" t="s">
        <v>10</v>
      </c>
      <c r="F769" t="s">
        <v>11</v>
      </c>
      <c r="G769" s="3">
        <v>7050.64</v>
      </c>
      <c r="H769" t="str" cm="1">
        <f t="array" ref="H769">_xlfn.IFS(A769&lt;13, "Child", A769&lt;20, "Teenager", A769&lt;40, "Young Adult", A769&lt;60, "Senior Adult", A769&gt;=60, "Elderly")</f>
        <v>Senior Adult</v>
      </c>
    </row>
    <row r="770" spans="1:8" x14ac:dyDescent="0.25">
      <c r="A770" s="1">
        <v>64</v>
      </c>
      <c r="B770" t="s">
        <v>7</v>
      </c>
      <c r="C770" s="2">
        <v>39.700000000000003</v>
      </c>
      <c r="D770" s="1">
        <v>0</v>
      </c>
      <c r="E770" t="s">
        <v>10</v>
      </c>
      <c r="F770" t="s">
        <v>11</v>
      </c>
      <c r="G770" s="3">
        <v>14319.03</v>
      </c>
      <c r="H770" t="str" cm="1">
        <f t="array" ref="H770">_xlfn.IFS(A770&lt;13, "Child", A770&lt;20, "Teenager", A770&lt;40, "Young Adult", A770&lt;60, "Senior Adult", A770&gt;=60, "Elderly")</f>
        <v>Elderly</v>
      </c>
    </row>
    <row r="771" spans="1:8" x14ac:dyDescent="0.25">
      <c r="A771" s="1">
        <v>38</v>
      </c>
      <c r="B771" t="s">
        <v>7</v>
      </c>
      <c r="C771" s="2">
        <v>19.5</v>
      </c>
      <c r="D771" s="1">
        <v>2</v>
      </c>
      <c r="E771" t="s">
        <v>10</v>
      </c>
      <c r="F771" t="s">
        <v>13</v>
      </c>
      <c r="G771" s="3">
        <v>6933.24</v>
      </c>
      <c r="H771" t="str" cm="1">
        <f t="array" ref="H771">_xlfn.IFS(A771&lt;13, "Child", A771&lt;20, "Teenager", A771&lt;40, "Young Adult", A771&lt;60, "Senior Adult", A771&gt;=60, "Elderly")</f>
        <v>Young Adult</v>
      </c>
    </row>
    <row r="772" spans="1:8" x14ac:dyDescent="0.25">
      <c r="A772" s="1">
        <v>61</v>
      </c>
      <c r="B772" t="s">
        <v>8</v>
      </c>
      <c r="C772" s="2">
        <v>36.1</v>
      </c>
      <c r="D772" s="1">
        <v>3</v>
      </c>
      <c r="E772" t="s">
        <v>10</v>
      </c>
      <c r="F772" t="s">
        <v>11</v>
      </c>
      <c r="G772" s="3">
        <v>27941.29</v>
      </c>
      <c r="H772" t="str" cm="1">
        <f t="array" ref="H772">_xlfn.IFS(A772&lt;13, "Child", A772&lt;20, "Teenager", A772&lt;40, "Young Adult", A772&lt;60, "Senior Adult", A772&gt;=60, "Elderly")</f>
        <v>Elderly</v>
      </c>
    </row>
    <row r="773" spans="1:8" x14ac:dyDescent="0.25">
      <c r="A773" s="1">
        <v>53</v>
      </c>
      <c r="B773" t="s">
        <v>7</v>
      </c>
      <c r="C773" s="2">
        <v>26.7</v>
      </c>
      <c r="D773" s="1">
        <v>2</v>
      </c>
      <c r="E773" t="s">
        <v>10</v>
      </c>
      <c r="F773" t="s">
        <v>11</v>
      </c>
      <c r="G773" s="3">
        <v>11150.78</v>
      </c>
      <c r="H773" t="str" cm="1">
        <f t="array" ref="H773">_xlfn.IFS(A773&lt;13, "Child", A773&lt;20, "Teenager", A773&lt;40, "Young Adult", A773&lt;60, "Senior Adult", A773&gt;=60, "Elderly")</f>
        <v>Senior Adult</v>
      </c>
    </row>
    <row r="774" spans="1:8" x14ac:dyDescent="0.25">
      <c r="A774" s="1">
        <v>44</v>
      </c>
      <c r="B774" t="s">
        <v>7</v>
      </c>
      <c r="C774" s="2">
        <v>36.5</v>
      </c>
      <c r="D774" s="1">
        <v>0</v>
      </c>
      <c r="E774" t="s">
        <v>10</v>
      </c>
      <c r="F774" t="s">
        <v>14</v>
      </c>
      <c r="G774" s="3">
        <v>12797.21</v>
      </c>
      <c r="H774" t="str" cm="1">
        <f t="array" ref="H774">_xlfn.IFS(A774&lt;13, "Child", A774&lt;20, "Teenager", A774&lt;40, "Young Adult", A774&lt;60, "Senior Adult", A774&gt;=60, "Elderly")</f>
        <v>Senior Adult</v>
      </c>
    </row>
    <row r="775" spans="1:8" x14ac:dyDescent="0.25">
      <c r="A775" s="1">
        <v>19</v>
      </c>
      <c r="B775" t="s">
        <v>7</v>
      </c>
      <c r="C775" s="2">
        <v>28.9</v>
      </c>
      <c r="D775" s="1">
        <v>0</v>
      </c>
      <c r="E775" t="s">
        <v>9</v>
      </c>
      <c r="F775" t="s">
        <v>13</v>
      </c>
      <c r="G775" s="3">
        <v>17748.509999999998</v>
      </c>
      <c r="H775" t="str" cm="1">
        <f t="array" ref="H775">_xlfn.IFS(A775&lt;13, "Child", A775&lt;20, "Teenager", A775&lt;40, "Young Adult", A775&lt;60, "Senior Adult", A775&gt;=60, "Elderly")</f>
        <v>Teenager</v>
      </c>
    </row>
    <row r="776" spans="1:8" x14ac:dyDescent="0.25">
      <c r="A776" s="1">
        <v>41</v>
      </c>
      <c r="B776" t="s">
        <v>8</v>
      </c>
      <c r="C776" s="2">
        <v>34.200000000000003</v>
      </c>
      <c r="D776" s="1">
        <v>2</v>
      </c>
      <c r="E776" t="s">
        <v>10</v>
      </c>
      <c r="F776" t="s">
        <v>13</v>
      </c>
      <c r="G776" s="3">
        <v>7261.74</v>
      </c>
      <c r="H776" t="str" cm="1">
        <f t="array" ref="H776">_xlfn.IFS(A776&lt;13, "Child", A776&lt;20, "Teenager", A776&lt;40, "Young Adult", A776&lt;60, "Senior Adult", A776&gt;=60, "Elderly")</f>
        <v>Senior Adult</v>
      </c>
    </row>
    <row r="777" spans="1:8" x14ac:dyDescent="0.25">
      <c r="A777" s="1">
        <v>51</v>
      </c>
      <c r="B777" t="s">
        <v>8</v>
      </c>
      <c r="C777" s="2">
        <v>33.299999999999997</v>
      </c>
      <c r="D777" s="1">
        <v>3</v>
      </c>
      <c r="E777" t="s">
        <v>10</v>
      </c>
      <c r="F777" t="s">
        <v>12</v>
      </c>
      <c r="G777" s="3">
        <v>10560.49</v>
      </c>
      <c r="H777" t="str" cm="1">
        <f t="array" ref="H777">_xlfn.IFS(A777&lt;13, "Child", A777&lt;20, "Teenager", A777&lt;40, "Young Adult", A777&lt;60, "Senior Adult", A777&gt;=60, "Elderly")</f>
        <v>Senior Adult</v>
      </c>
    </row>
    <row r="778" spans="1:8" x14ac:dyDescent="0.25">
      <c r="A778" s="1">
        <v>40</v>
      </c>
      <c r="B778" t="s">
        <v>8</v>
      </c>
      <c r="C778" s="2">
        <v>32.299999999999997</v>
      </c>
      <c r="D778" s="1">
        <v>2</v>
      </c>
      <c r="E778" t="s">
        <v>10</v>
      </c>
      <c r="F778" t="s">
        <v>13</v>
      </c>
      <c r="G778" s="3">
        <v>6986.7</v>
      </c>
      <c r="H778" t="str" cm="1">
        <f t="array" ref="H778">_xlfn.IFS(A778&lt;13, "Child", A778&lt;20, "Teenager", A778&lt;40, "Young Adult", A778&lt;60, "Senior Adult", A778&gt;=60, "Elderly")</f>
        <v>Senior Adult</v>
      </c>
    </row>
    <row r="779" spans="1:8" x14ac:dyDescent="0.25">
      <c r="A779" s="1">
        <v>45</v>
      </c>
      <c r="B779" t="s">
        <v>8</v>
      </c>
      <c r="C779" s="2">
        <v>39.799999999999997</v>
      </c>
      <c r="D779" s="1">
        <v>0</v>
      </c>
      <c r="E779" t="s">
        <v>10</v>
      </c>
      <c r="F779" t="s">
        <v>14</v>
      </c>
      <c r="G779" s="3">
        <v>7448.4</v>
      </c>
      <c r="H779" t="str" cm="1">
        <f t="array" ref="H779">_xlfn.IFS(A779&lt;13, "Child", A779&lt;20, "Teenager", A779&lt;40, "Young Adult", A779&lt;60, "Senior Adult", A779&gt;=60, "Elderly")</f>
        <v>Senior Adult</v>
      </c>
    </row>
    <row r="780" spans="1:8" x14ac:dyDescent="0.25">
      <c r="A780" s="1">
        <v>35</v>
      </c>
      <c r="B780" t="s">
        <v>8</v>
      </c>
      <c r="C780" s="2">
        <v>34.299999999999997</v>
      </c>
      <c r="D780" s="1">
        <v>3</v>
      </c>
      <c r="E780" t="s">
        <v>10</v>
      </c>
      <c r="F780" t="s">
        <v>12</v>
      </c>
      <c r="G780" s="3">
        <v>5934.38</v>
      </c>
      <c r="H780" t="str" cm="1">
        <f t="array" ref="H780">_xlfn.IFS(A780&lt;13, "Child", A780&lt;20, "Teenager", A780&lt;40, "Young Adult", A780&lt;60, "Senior Adult", A780&gt;=60, "Elderly")</f>
        <v>Young Adult</v>
      </c>
    </row>
    <row r="781" spans="1:8" x14ac:dyDescent="0.25">
      <c r="A781" s="1">
        <v>53</v>
      </c>
      <c r="B781" t="s">
        <v>8</v>
      </c>
      <c r="C781" s="2">
        <v>28.9</v>
      </c>
      <c r="D781" s="1">
        <v>0</v>
      </c>
      <c r="E781" t="s">
        <v>10</v>
      </c>
      <c r="F781" t="s">
        <v>13</v>
      </c>
      <c r="G781" s="3">
        <v>9869.81</v>
      </c>
      <c r="H781" t="str" cm="1">
        <f t="array" ref="H781">_xlfn.IFS(A781&lt;13, "Child", A781&lt;20, "Teenager", A781&lt;40, "Young Adult", A781&lt;60, "Senior Adult", A781&gt;=60, "Elderly")</f>
        <v>Senior Adult</v>
      </c>
    </row>
    <row r="782" spans="1:8" x14ac:dyDescent="0.25">
      <c r="A782" s="1">
        <v>30</v>
      </c>
      <c r="B782" t="s">
        <v>8</v>
      </c>
      <c r="C782" s="2">
        <v>24.4</v>
      </c>
      <c r="D782" s="1">
        <v>3</v>
      </c>
      <c r="E782" t="s">
        <v>9</v>
      </c>
      <c r="F782" t="s">
        <v>11</v>
      </c>
      <c r="G782" s="3">
        <v>18259.22</v>
      </c>
      <c r="H782" t="str" cm="1">
        <f t="array" ref="H782">_xlfn.IFS(A782&lt;13, "Child", A782&lt;20, "Teenager", A782&lt;40, "Young Adult", A782&lt;60, "Senior Adult", A782&gt;=60, "Elderly")</f>
        <v>Young Adult</v>
      </c>
    </row>
    <row r="783" spans="1:8" x14ac:dyDescent="0.25">
      <c r="A783" s="1">
        <v>18</v>
      </c>
      <c r="B783" t="s">
        <v>8</v>
      </c>
      <c r="C783" s="2">
        <v>41.1</v>
      </c>
      <c r="D783" s="1">
        <v>0</v>
      </c>
      <c r="E783" t="s">
        <v>10</v>
      </c>
      <c r="F783" t="s">
        <v>12</v>
      </c>
      <c r="G783" s="3">
        <v>1146.8</v>
      </c>
      <c r="H783" t="str" cm="1">
        <f t="array" ref="H783">_xlfn.IFS(A783&lt;13, "Child", A783&lt;20, "Teenager", A783&lt;40, "Young Adult", A783&lt;60, "Senior Adult", A783&gt;=60, "Elderly")</f>
        <v>Teenager</v>
      </c>
    </row>
    <row r="784" spans="1:8" x14ac:dyDescent="0.25">
      <c r="A784" s="1">
        <v>51</v>
      </c>
      <c r="B784" t="s">
        <v>8</v>
      </c>
      <c r="C784" s="2">
        <v>36</v>
      </c>
      <c r="D784" s="1">
        <v>1</v>
      </c>
      <c r="E784" t="s">
        <v>10</v>
      </c>
      <c r="F784" t="s">
        <v>12</v>
      </c>
      <c r="G784" s="3">
        <v>9386.16</v>
      </c>
      <c r="H784" t="str" cm="1">
        <f t="array" ref="H784">_xlfn.IFS(A784&lt;13, "Child", A784&lt;20, "Teenager", A784&lt;40, "Young Adult", A784&lt;60, "Senior Adult", A784&gt;=60, "Elderly")</f>
        <v>Senior Adult</v>
      </c>
    </row>
    <row r="785" spans="1:8" x14ac:dyDescent="0.25">
      <c r="A785" s="1">
        <v>50</v>
      </c>
      <c r="B785" t="s">
        <v>7</v>
      </c>
      <c r="C785" s="2">
        <v>27.6</v>
      </c>
      <c r="D785" s="1">
        <v>1</v>
      </c>
      <c r="E785" t="s">
        <v>9</v>
      </c>
      <c r="F785" t="s">
        <v>11</v>
      </c>
      <c r="G785" s="3">
        <v>24520.26</v>
      </c>
      <c r="H785" t="str" cm="1">
        <f t="array" ref="H785">_xlfn.IFS(A785&lt;13, "Child", A785&lt;20, "Teenager", A785&lt;40, "Young Adult", A785&lt;60, "Senior Adult", A785&gt;=60, "Elderly")</f>
        <v>Senior Adult</v>
      </c>
    </row>
    <row r="786" spans="1:8" x14ac:dyDescent="0.25">
      <c r="A786" s="1">
        <v>31</v>
      </c>
      <c r="B786" t="s">
        <v>7</v>
      </c>
      <c r="C786" s="2">
        <v>29.3</v>
      </c>
      <c r="D786" s="1">
        <v>1</v>
      </c>
      <c r="E786" t="s">
        <v>10</v>
      </c>
      <c r="F786" t="s">
        <v>12</v>
      </c>
      <c r="G786" s="3">
        <v>4350.51</v>
      </c>
      <c r="H786" t="str" cm="1">
        <f t="array" ref="H786">_xlfn.IFS(A786&lt;13, "Child", A786&lt;20, "Teenager", A786&lt;40, "Young Adult", A786&lt;60, "Senior Adult", A786&gt;=60, "Elderly")</f>
        <v>Young Adult</v>
      </c>
    </row>
    <row r="787" spans="1:8" x14ac:dyDescent="0.25">
      <c r="A787" s="1">
        <v>35</v>
      </c>
      <c r="B787" t="s">
        <v>7</v>
      </c>
      <c r="C787" s="2">
        <v>27.7</v>
      </c>
      <c r="D787" s="1">
        <v>3</v>
      </c>
      <c r="E787" t="s">
        <v>10</v>
      </c>
      <c r="F787" t="s">
        <v>11</v>
      </c>
      <c r="G787" s="3">
        <v>6414.18</v>
      </c>
      <c r="H787" t="str" cm="1">
        <f t="array" ref="H787">_xlfn.IFS(A787&lt;13, "Child", A787&lt;20, "Teenager", A787&lt;40, "Young Adult", A787&lt;60, "Senior Adult", A787&gt;=60, "Elderly")</f>
        <v>Young Adult</v>
      </c>
    </row>
    <row r="788" spans="1:8" x14ac:dyDescent="0.25">
      <c r="A788" s="1">
        <v>60</v>
      </c>
      <c r="B788" t="s">
        <v>8</v>
      </c>
      <c r="C788" s="2">
        <v>37</v>
      </c>
      <c r="D788" s="1">
        <v>0</v>
      </c>
      <c r="E788" t="s">
        <v>10</v>
      </c>
      <c r="F788" t="s">
        <v>14</v>
      </c>
      <c r="G788" s="3">
        <v>12741.17</v>
      </c>
      <c r="H788" t="str" cm="1">
        <f t="array" ref="H788">_xlfn.IFS(A788&lt;13, "Child", A788&lt;20, "Teenager", A788&lt;40, "Young Adult", A788&lt;60, "Senior Adult", A788&gt;=60, "Elderly")</f>
        <v>Elderly</v>
      </c>
    </row>
    <row r="789" spans="1:8" x14ac:dyDescent="0.25">
      <c r="A789" s="1">
        <v>21</v>
      </c>
      <c r="B789" t="s">
        <v>8</v>
      </c>
      <c r="C789" s="2">
        <v>36.9</v>
      </c>
      <c r="D789" s="1">
        <v>0</v>
      </c>
      <c r="E789" t="s">
        <v>10</v>
      </c>
      <c r="F789" t="s">
        <v>13</v>
      </c>
      <c r="G789" s="3">
        <v>1917.32</v>
      </c>
      <c r="H789" t="str" cm="1">
        <f t="array" ref="H789">_xlfn.IFS(A789&lt;13, "Child", A789&lt;20, "Teenager", A789&lt;40, "Young Adult", A789&lt;60, "Senior Adult", A789&gt;=60, "Elderly")</f>
        <v>Young Adult</v>
      </c>
    </row>
    <row r="790" spans="1:8" x14ac:dyDescent="0.25">
      <c r="A790" s="1">
        <v>29</v>
      </c>
      <c r="B790" t="s">
        <v>8</v>
      </c>
      <c r="C790" s="2">
        <v>22.5</v>
      </c>
      <c r="D790" s="1">
        <v>3</v>
      </c>
      <c r="E790" t="s">
        <v>10</v>
      </c>
      <c r="F790" t="s">
        <v>14</v>
      </c>
      <c r="G790" s="3">
        <v>5209.58</v>
      </c>
      <c r="H790" t="str" cm="1">
        <f t="array" ref="H790">_xlfn.IFS(A790&lt;13, "Child", A790&lt;20, "Teenager", A790&lt;40, "Young Adult", A790&lt;60, "Senior Adult", A790&gt;=60, "Elderly")</f>
        <v>Young Adult</v>
      </c>
    </row>
    <row r="791" spans="1:8" x14ac:dyDescent="0.25">
      <c r="A791" s="1">
        <v>62</v>
      </c>
      <c r="B791" t="s">
        <v>7</v>
      </c>
      <c r="C791" s="2">
        <v>29.9</v>
      </c>
      <c r="D791" s="1">
        <v>0</v>
      </c>
      <c r="E791" t="s">
        <v>10</v>
      </c>
      <c r="F791" t="s">
        <v>12</v>
      </c>
      <c r="G791" s="3">
        <v>13457.96</v>
      </c>
      <c r="H791" t="str" cm="1">
        <f t="array" ref="H791">_xlfn.IFS(A791&lt;13, "Child", A791&lt;20, "Teenager", A791&lt;40, "Young Adult", A791&lt;60, "Senior Adult", A791&gt;=60, "Elderly")</f>
        <v>Elderly</v>
      </c>
    </row>
    <row r="792" spans="1:8" x14ac:dyDescent="0.25">
      <c r="A792" s="1">
        <v>39</v>
      </c>
      <c r="B792" t="s">
        <v>7</v>
      </c>
      <c r="C792" s="2">
        <v>41.8</v>
      </c>
      <c r="D792" s="1">
        <v>0</v>
      </c>
      <c r="E792" t="s">
        <v>10</v>
      </c>
      <c r="F792" t="s">
        <v>12</v>
      </c>
      <c r="G792" s="3">
        <v>5662.23</v>
      </c>
      <c r="H792" t="str" cm="1">
        <f t="array" ref="H792">_xlfn.IFS(A792&lt;13, "Child", A792&lt;20, "Teenager", A792&lt;40, "Young Adult", A792&lt;60, "Senior Adult", A792&gt;=60, "Elderly")</f>
        <v>Young Adult</v>
      </c>
    </row>
    <row r="793" spans="1:8" x14ac:dyDescent="0.25">
      <c r="A793" s="1">
        <v>19</v>
      </c>
      <c r="B793" t="s">
        <v>8</v>
      </c>
      <c r="C793" s="2">
        <v>27.6</v>
      </c>
      <c r="D793" s="1">
        <v>0</v>
      </c>
      <c r="E793" t="s">
        <v>10</v>
      </c>
      <c r="F793" t="s">
        <v>11</v>
      </c>
      <c r="G793" s="3">
        <v>1252.4100000000001</v>
      </c>
      <c r="H793" t="str" cm="1">
        <f t="array" ref="H793">_xlfn.IFS(A793&lt;13, "Child", A793&lt;20, "Teenager", A793&lt;40, "Young Adult", A793&lt;60, "Senior Adult", A793&gt;=60, "Elderly")</f>
        <v>Teenager</v>
      </c>
    </row>
    <row r="794" spans="1:8" x14ac:dyDescent="0.25">
      <c r="A794" s="1">
        <v>22</v>
      </c>
      <c r="B794" t="s">
        <v>7</v>
      </c>
      <c r="C794" s="2">
        <v>23.2</v>
      </c>
      <c r="D794" s="1">
        <v>0</v>
      </c>
      <c r="E794" t="s">
        <v>10</v>
      </c>
      <c r="F794" t="s">
        <v>14</v>
      </c>
      <c r="G794" s="3">
        <v>2731.91</v>
      </c>
      <c r="H794" t="str" cm="1">
        <f t="array" ref="H794">_xlfn.IFS(A794&lt;13, "Child", A794&lt;20, "Teenager", A794&lt;40, "Young Adult", A794&lt;60, "Senior Adult", A794&gt;=60, "Elderly")</f>
        <v>Young Adult</v>
      </c>
    </row>
    <row r="795" spans="1:8" x14ac:dyDescent="0.25">
      <c r="A795" s="1">
        <v>53</v>
      </c>
      <c r="B795" t="s">
        <v>8</v>
      </c>
      <c r="C795" s="2">
        <v>20.9</v>
      </c>
      <c r="D795" s="1">
        <v>0</v>
      </c>
      <c r="E795" t="s">
        <v>9</v>
      </c>
      <c r="F795" t="s">
        <v>12</v>
      </c>
      <c r="G795" s="3">
        <v>21195.82</v>
      </c>
      <c r="H795" t="str" cm="1">
        <f t="array" ref="H795">_xlfn.IFS(A795&lt;13, "Child", A795&lt;20, "Teenager", A795&lt;40, "Young Adult", A795&lt;60, "Senior Adult", A795&gt;=60, "Elderly")</f>
        <v>Senior Adult</v>
      </c>
    </row>
    <row r="796" spans="1:8" x14ac:dyDescent="0.25">
      <c r="A796" s="1">
        <v>39</v>
      </c>
      <c r="B796" t="s">
        <v>7</v>
      </c>
      <c r="C796" s="2">
        <v>31.9</v>
      </c>
      <c r="D796" s="1">
        <v>2</v>
      </c>
      <c r="E796" t="s">
        <v>10</v>
      </c>
      <c r="F796" t="s">
        <v>13</v>
      </c>
      <c r="G796" s="3">
        <v>7209.49</v>
      </c>
      <c r="H796" t="str" cm="1">
        <f t="array" ref="H796">_xlfn.IFS(A796&lt;13, "Child", A796&lt;20, "Teenager", A796&lt;40, "Young Adult", A796&lt;60, "Senior Adult", A796&gt;=60, "Elderly")</f>
        <v>Young Adult</v>
      </c>
    </row>
    <row r="797" spans="1:8" x14ac:dyDescent="0.25">
      <c r="A797" s="1">
        <v>27</v>
      </c>
      <c r="B797" t="s">
        <v>8</v>
      </c>
      <c r="C797" s="2">
        <v>28.5</v>
      </c>
      <c r="D797" s="1">
        <v>0</v>
      </c>
      <c r="E797" t="s">
        <v>9</v>
      </c>
      <c r="F797" t="s">
        <v>13</v>
      </c>
      <c r="G797" s="3">
        <v>18310.740000000002</v>
      </c>
      <c r="H797" t="str" cm="1">
        <f t="array" ref="H797">_xlfn.IFS(A797&lt;13, "Child", A797&lt;20, "Teenager", A797&lt;40, "Young Adult", A797&lt;60, "Senior Adult", A797&gt;=60, "Elderly")</f>
        <v>Young Adult</v>
      </c>
    </row>
    <row r="798" spans="1:8" x14ac:dyDescent="0.25">
      <c r="A798" s="1">
        <v>30</v>
      </c>
      <c r="B798" t="s">
        <v>8</v>
      </c>
      <c r="C798" s="2">
        <v>44.2</v>
      </c>
      <c r="D798" s="1">
        <v>2</v>
      </c>
      <c r="E798" t="s">
        <v>10</v>
      </c>
      <c r="F798" t="s">
        <v>12</v>
      </c>
      <c r="G798" s="3">
        <v>4266.17</v>
      </c>
      <c r="H798" t="str" cm="1">
        <f t="array" ref="H798">_xlfn.IFS(A798&lt;13, "Child", A798&lt;20, "Teenager", A798&lt;40, "Young Adult", A798&lt;60, "Senior Adult", A798&gt;=60, "Elderly")</f>
        <v>Young Adult</v>
      </c>
    </row>
    <row r="799" spans="1:8" x14ac:dyDescent="0.25">
      <c r="A799" s="1">
        <v>30</v>
      </c>
      <c r="B799" t="s">
        <v>7</v>
      </c>
      <c r="C799" s="2">
        <v>22.9</v>
      </c>
      <c r="D799" s="1">
        <v>1</v>
      </c>
      <c r="E799" t="s">
        <v>10</v>
      </c>
      <c r="F799" t="s">
        <v>14</v>
      </c>
      <c r="G799" s="3">
        <v>4719.5200000000004</v>
      </c>
      <c r="H799" t="str" cm="1">
        <f t="array" ref="H799">_xlfn.IFS(A799&lt;13, "Child", A799&lt;20, "Teenager", A799&lt;40, "Young Adult", A799&lt;60, "Senior Adult", A799&gt;=60, "Elderly")</f>
        <v>Young Adult</v>
      </c>
    </row>
    <row r="800" spans="1:8" x14ac:dyDescent="0.25">
      <c r="A800" s="1">
        <v>58</v>
      </c>
      <c r="B800" t="s">
        <v>7</v>
      </c>
      <c r="C800" s="2">
        <v>33.1</v>
      </c>
      <c r="D800" s="1">
        <v>0</v>
      </c>
      <c r="E800" t="s">
        <v>10</v>
      </c>
      <c r="F800" t="s">
        <v>11</v>
      </c>
      <c r="G800" s="3">
        <v>11848.14</v>
      </c>
      <c r="H800" t="str" cm="1">
        <f t="array" ref="H800">_xlfn.IFS(A800&lt;13, "Child", A800&lt;20, "Teenager", A800&lt;40, "Young Adult", A800&lt;60, "Senior Adult", A800&gt;=60, "Elderly")</f>
        <v>Senior Adult</v>
      </c>
    </row>
    <row r="801" spans="1:8" x14ac:dyDescent="0.25">
      <c r="A801" s="1">
        <v>33</v>
      </c>
      <c r="B801" t="s">
        <v>8</v>
      </c>
      <c r="C801" s="2">
        <v>24.8</v>
      </c>
      <c r="D801" s="1">
        <v>0</v>
      </c>
      <c r="E801" t="s">
        <v>9</v>
      </c>
      <c r="F801" t="s">
        <v>14</v>
      </c>
      <c r="G801" s="3">
        <v>17904.53</v>
      </c>
      <c r="H801" t="str" cm="1">
        <f t="array" ref="H801">_xlfn.IFS(A801&lt;13, "Child", A801&lt;20, "Teenager", A801&lt;40, "Young Adult", A801&lt;60, "Senior Adult", A801&gt;=60, "Elderly")</f>
        <v>Young Adult</v>
      </c>
    </row>
    <row r="802" spans="1:8" x14ac:dyDescent="0.25">
      <c r="A802" s="1">
        <v>42</v>
      </c>
      <c r="B802" t="s">
        <v>7</v>
      </c>
      <c r="C802" s="2">
        <v>26.2</v>
      </c>
      <c r="D802" s="1">
        <v>1</v>
      </c>
      <c r="E802" t="s">
        <v>10</v>
      </c>
      <c r="F802" t="s">
        <v>12</v>
      </c>
      <c r="G802" s="3">
        <v>7046.72</v>
      </c>
      <c r="H802" t="str" cm="1">
        <f t="array" ref="H802">_xlfn.IFS(A802&lt;13, "Child", A802&lt;20, "Teenager", A802&lt;40, "Young Adult", A802&lt;60, "Senior Adult", A802&gt;=60, "Elderly")</f>
        <v>Senior Adult</v>
      </c>
    </row>
    <row r="803" spans="1:8" x14ac:dyDescent="0.25">
      <c r="A803" s="1">
        <v>64</v>
      </c>
      <c r="B803" t="s">
        <v>7</v>
      </c>
      <c r="C803" s="2">
        <v>36</v>
      </c>
      <c r="D803" s="1">
        <v>0</v>
      </c>
      <c r="E803" t="s">
        <v>10</v>
      </c>
      <c r="F803" t="s">
        <v>12</v>
      </c>
      <c r="G803" s="3">
        <v>14313.85</v>
      </c>
      <c r="H803" t="str" cm="1">
        <f t="array" ref="H803">_xlfn.IFS(A803&lt;13, "Child", A803&lt;20, "Teenager", A803&lt;40, "Young Adult", A803&lt;60, "Senior Adult", A803&gt;=60, "Elderly")</f>
        <v>Elderly</v>
      </c>
    </row>
    <row r="804" spans="1:8" x14ac:dyDescent="0.25">
      <c r="A804" s="1">
        <v>21</v>
      </c>
      <c r="B804" t="s">
        <v>8</v>
      </c>
      <c r="C804" s="2">
        <v>22.3</v>
      </c>
      <c r="D804" s="1">
        <v>1</v>
      </c>
      <c r="E804" t="s">
        <v>10</v>
      </c>
      <c r="F804" t="s">
        <v>11</v>
      </c>
      <c r="G804" s="3">
        <v>2103.08</v>
      </c>
      <c r="H804" t="str" cm="1">
        <f t="array" ref="H804">_xlfn.IFS(A804&lt;13, "Child", A804&lt;20, "Teenager", A804&lt;40, "Young Adult", A804&lt;60, "Senior Adult", A804&gt;=60, "Elderly")</f>
        <v>Young Adult</v>
      </c>
    </row>
    <row r="805" spans="1:8" x14ac:dyDescent="0.25">
      <c r="A805" s="1">
        <v>18</v>
      </c>
      <c r="B805" t="s">
        <v>7</v>
      </c>
      <c r="C805" s="2">
        <v>42.2</v>
      </c>
      <c r="D805" s="1">
        <v>0</v>
      </c>
      <c r="E805" t="s">
        <v>9</v>
      </c>
      <c r="F805" t="s">
        <v>12</v>
      </c>
      <c r="G805" s="3">
        <v>38792.69</v>
      </c>
      <c r="H805" t="str" cm="1">
        <f t="array" ref="H805">_xlfn.IFS(A805&lt;13, "Child", A805&lt;20, "Teenager", A805&lt;40, "Young Adult", A805&lt;60, "Senior Adult", A805&gt;=60, "Elderly")</f>
        <v>Teenager</v>
      </c>
    </row>
    <row r="806" spans="1:8" x14ac:dyDescent="0.25">
      <c r="A806" s="1">
        <v>23</v>
      </c>
      <c r="B806" t="s">
        <v>8</v>
      </c>
      <c r="C806" s="2">
        <v>26.5</v>
      </c>
      <c r="D806" s="1">
        <v>0</v>
      </c>
      <c r="E806" t="s">
        <v>10</v>
      </c>
      <c r="F806" t="s">
        <v>12</v>
      </c>
      <c r="G806" s="3">
        <v>1815.88</v>
      </c>
      <c r="H806" t="str" cm="1">
        <f t="array" ref="H806">_xlfn.IFS(A806&lt;13, "Child", A806&lt;20, "Teenager", A806&lt;40, "Young Adult", A806&lt;60, "Senior Adult", A806&gt;=60, "Elderly")</f>
        <v>Young Adult</v>
      </c>
    </row>
    <row r="807" spans="1:8" x14ac:dyDescent="0.25">
      <c r="A807" s="1">
        <v>45</v>
      </c>
      <c r="B807" t="s">
        <v>7</v>
      </c>
      <c r="C807" s="2">
        <v>35.799999999999997</v>
      </c>
      <c r="D807" s="1">
        <v>0</v>
      </c>
      <c r="E807" t="s">
        <v>10</v>
      </c>
      <c r="F807" t="s">
        <v>13</v>
      </c>
      <c r="G807" s="3">
        <v>7731.86</v>
      </c>
      <c r="H807" t="str" cm="1">
        <f t="array" ref="H807">_xlfn.IFS(A807&lt;13, "Child", A807&lt;20, "Teenager", A807&lt;40, "Young Adult", A807&lt;60, "Senior Adult", A807&gt;=60, "Elderly")</f>
        <v>Senior Adult</v>
      </c>
    </row>
    <row r="808" spans="1:8" x14ac:dyDescent="0.25">
      <c r="A808" s="1">
        <v>40</v>
      </c>
      <c r="B808" t="s">
        <v>7</v>
      </c>
      <c r="C808" s="2">
        <v>41.4</v>
      </c>
      <c r="D808" s="1">
        <v>1</v>
      </c>
      <c r="E808" t="s">
        <v>10</v>
      </c>
      <c r="F808" t="s">
        <v>13</v>
      </c>
      <c r="G808" s="3">
        <v>28476.73</v>
      </c>
      <c r="H808" t="str" cm="1">
        <f t="array" ref="H808">_xlfn.IFS(A808&lt;13, "Child", A808&lt;20, "Teenager", A808&lt;40, "Young Adult", A808&lt;60, "Senior Adult", A808&gt;=60, "Elderly")</f>
        <v>Senior Adult</v>
      </c>
    </row>
    <row r="809" spans="1:8" x14ac:dyDescent="0.25">
      <c r="A809" s="1">
        <v>19</v>
      </c>
      <c r="B809" t="s">
        <v>7</v>
      </c>
      <c r="C809" s="2">
        <v>36.6</v>
      </c>
      <c r="D809" s="1">
        <v>0</v>
      </c>
      <c r="E809" t="s">
        <v>10</v>
      </c>
      <c r="F809" t="s">
        <v>13</v>
      </c>
      <c r="G809" s="3">
        <v>2136.88</v>
      </c>
      <c r="H809" t="str" cm="1">
        <f t="array" ref="H809">_xlfn.IFS(A809&lt;13, "Child", A809&lt;20, "Teenager", A809&lt;40, "Young Adult", A809&lt;60, "Senior Adult", A809&gt;=60, "Elderly")</f>
        <v>Teenager</v>
      </c>
    </row>
    <row r="810" spans="1:8" x14ac:dyDescent="0.25">
      <c r="A810" s="1">
        <v>18</v>
      </c>
      <c r="B810" t="s">
        <v>8</v>
      </c>
      <c r="C810" s="2">
        <v>30.1</v>
      </c>
      <c r="D810" s="1">
        <v>0</v>
      </c>
      <c r="E810" t="s">
        <v>10</v>
      </c>
      <c r="F810" t="s">
        <v>12</v>
      </c>
      <c r="G810" s="3">
        <v>1131.51</v>
      </c>
      <c r="H810" t="str" cm="1">
        <f t="array" ref="H810">_xlfn.IFS(A810&lt;13, "Child", A810&lt;20, "Teenager", A810&lt;40, "Young Adult", A810&lt;60, "Senior Adult", A810&gt;=60, "Elderly")</f>
        <v>Teenager</v>
      </c>
    </row>
    <row r="811" spans="1:8" x14ac:dyDescent="0.25">
      <c r="A811" s="1">
        <v>25</v>
      </c>
      <c r="B811" t="s">
        <v>8</v>
      </c>
      <c r="C811" s="2">
        <v>25.8</v>
      </c>
      <c r="D811" s="1">
        <v>1</v>
      </c>
      <c r="E811" t="s">
        <v>10</v>
      </c>
      <c r="F811" t="s">
        <v>14</v>
      </c>
      <c r="G811" s="3">
        <v>3309.79</v>
      </c>
      <c r="H811" t="str" cm="1">
        <f t="array" ref="H811">_xlfn.IFS(A811&lt;13, "Child", A811&lt;20, "Teenager", A811&lt;40, "Young Adult", A811&lt;60, "Senior Adult", A811&gt;=60, "Elderly")</f>
        <v>Young Adult</v>
      </c>
    </row>
    <row r="812" spans="1:8" x14ac:dyDescent="0.25">
      <c r="A812" s="1">
        <v>46</v>
      </c>
      <c r="B812" t="s">
        <v>7</v>
      </c>
      <c r="C812" s="2">
        <v>30.8</v>
      </c>
      <c r="D812" s="1">
        <v>3</v>
      </c>
      <c r="E812" t="s">
        <v>10</v>
      </c>
      <c r="F812" t="s">
        <v>11</v>
      </c>
      <c r="G812" s="3">
        <v>9414.92</v>
      </c>
      <c r="H812" t="str" cm="1">
        <f t="array" ref="H812">_xlfn.IFS(A812&lt;13, "Child", A812&lt;20, "Teenager", A812&lt;40, "Young Adult", A812&lt;60, "Senior Adult", A812&gt;=60, "Elderly")</f>
        <v>Senior Adult</v>
      </c>
    </row>
    <row r="813" spans="1:8" x14ac:dyDescent="0.25">
      <c r="A813" s="1">
        <v>33</v>
      </c>
      <c r="B813" t="s">
        <v>7</v>
      </c>
      <c r="C813" s="2">
        <v>42.9</v>
      </c>
      <c r="D813" s="1">
        <v>3</v>
      </c>
      <c r="E813" t="s">
        <v>10</v>
      </c>
      <c r="F813" t="s">
        <v>13</v>
      </c>
      <c r="G813" s="3">
        <v>6360.99</v>
      </c>
      <c r="H813" t="str" cm="1">
        <f t="array" ref="H813">_xlfn.IFS(A813&lt;13, "Child", A813&lt;20, "Teenager", A813&lt;40, "Young Adult", A813&lt;60, "Senior Adult", A813&gt;=60, "Elderly")</f>
        <v>Young Adult</v>
      </c>
    </row>
    <row r="814" spans="1:8" x14ac:dyDescent="0.25">
      <c r="A814" s="1">
        <v>54</v>
      </c>
      <c r="B814" t="s">
        <v>8</v>
      </c>
      <c r="C814" s="2">
        <v>21</v>
      </c>
      <c r="D814" s="1">
        <v>2</v>
      </c>
      <c r="E814" t="s">
        <v>10</v>
      </c>
      <c r="F814" t="s">
        <v>12</v>
      </c>
      <c r="G814" s="3">
        <v>11013.71</v>
      </c>
      <c r="H814" t="str" cm="1">
        <f t="array" ref="H814">_xlfn.IFS(A814&lt;13, "Child", A814&lt;20, "Teenager", A814&lt;40, "Young Adult", A814&lt;60, "Senior Adult", A814&gt;=60, "Elderly")</f>
        <v>Senior Adult</v>
      </c>
    </row>
    <row r="815" spans="1:8" x14ac:dyDescent="0.25">
      <c r="A815" s="1">
        <v>28</v>
      </c>
      <c r="B815" t="s">
        <v>8</v>
      </c>
      <c r="C815" s="2">
        <v>22.5</v>
      </c>
      <c r="D815" s="1">
        <v>2</v>
      </c>
      <c r="E815" t="s">
        <v>10</v>
      </c>
      <c r="F815" t="s">
        <v>14</v>
      </c>
      <c r="G815" s="3">
        <v>4428.8900000000003</v>
      </c>
      <c r="H815" t="str" cm="1">
        <f t="array" ref="H815">_xlfn.IFS(A815&lt;13, "Child", A815&lt;20, "Teenager", A815&lt;40, "Young Adult", A815&lt;60, "Senior Adult", A815&gt;=60, "Elderly")</f>
        <v>Young Adult</v>
      </c>
    </row>
    <row r="816" spans="1:8" x14ac:dyDescent="0.25">
      <c r="A816" s="1">
        <v>36</v>
      </c>
      <c r="B816" t="s">
        <v>8</v>
      </c>
      <c r="C816" s="2">
        <v>34.4</v>
      </c>
      <c r="D816" s="1">
        <v>2</v>
      </c>
      <c r="E816" t="s">
        <v>10</v>
      </c>
      <c r="F816" t="s">
        <v>12</v>
      </c>
      <c r="G816" s="3">
        <v>5584.31</v>
      </c>
      <c r="H816" t="str" cm="1">
        <f t="array" ref="H816">_xlfn.IFS(A816&lt;13, "Child", A816&lt;20, "Teenager", A816&lt;40, "Young Adult", A816&lt;60, "Senior Adult", A816&gt;=60, "Elderly")</f>
        <v>Young Adult</v>
      </c>
    </row>
    <row r="817" spans="1:8" x14ac:dyDescent="0.25">
      <c r="A817" s="1">
        <v>20</v>
      </c>
      <c r="B817" t="s">
        <v>7</v>
      </c>
      <c r="C817" s="2">
        <v>31.5</v>
      </c>
      <c r="D817" s="1">
        <v>0</v>
      </c>
      <c r="E817" t="s">
        <v>10</v>
      </c>
      <c r="F817" t="s">
        <v>12</v>
      </c>
      <c r="G817" s="3">
        <v>1877.93</v>
      </c>
      <c r="H817" t="str" cm="1">
        <f t="array" ref="H817">_xlfn.IFS(A817&lt;13, "Child", A817&lt;20, "Teenager", A817&lt;40, "Young Adult", A817&lt;60, "Senior Adult", A817&gt;=60, "Elderly")</f>
        <v>Young Adult</v>
      </c>
    </row>
    <row r="818" spans="1:8" x14ac:dyDescent="0.25">
      <c r="A818" s="1">
        <v>24</v>
      </c>
      <c r="B818" t="s">
        <v>7</v>
      </c>
      <c r="C818" s="2">
        <v>24.2</v>
      </c>
      <c r="D818" s="1">
        <v>0</v>
      </c>
      <c r="E818" t="s">
        <v>10</v>
      </c>
      <c r="F818" t="s">
        <v>13</v>
      </c>
      <c r="G818" s="3">
        <v>2842.76</v>
      </c>
      <c r="H818" t="str" cm="1">
        <f t="array" ref="H818">_xlfn.IFS(A818&lt;13, "Child", A818&lt;20, "Teenager", A818&lt;40, "Young Adult", A818&lt;60, "Senior Adult", A818&gt;=60, "Elderly")</f>
        <v>Young Adult</v>
      </c>
    </row>
    <row r="819" spans="1:8" x14ac:dyDescent="0.25">
      <c r="A819" s="1">
        <v>23</v>
      </c>
      <c r="B819" t="s">
        <v>8</v>
      </c>
      <c r="C819" s="2">
        <v>37.1</v>
      </c>
      <c r="D819" s="1">
        <v>3</v>
      </c>
      <c r="E819" t="s">
        <v>10</v>
      </c>
      <c r="F819" t="s">
        <v>11</v>
      </c>
      <c r="G819" s="3">
        <v>3597.6</v>
      </c>
      <c r="H819" t="str" cm="1">
        <f t="array" ref="H819">_xlfn.IFS(A819&lt;13, "Child", A819&lt;20, "Teenager", A819&lt;40, "Young Adult", A819&lt;60, "Senior Adult", A819&gt;=60, "Elderly")</f>
        <v>Young Adult</v>
      </c>
    </row>
    <row r="820" spans="1:8" x14ac:dyDescent="0.25">
      <c r="A820" s="1">
        <v>47</v>
      </c>
      <c r="B820" t="s">
        <v>7</v>
      </c>
      <c r="C820" s="2">
        <v>26.1</v>
      </c>
      <c r="D820" s="1">
        <v>1</v>
      </c>
      <c r="E820" t="s">
        <v>9</v>
      </c>
      <c r="F820" t="s">
        <v>14</v>
      </c>
      <c r="G820" s="3">
        <v>23401.31</v>
      </c>
      <c r="H820" t="str" cm="1">
        <f t="array" ref="H820">_xlfn.IFS(A820&lt;13, "Child", A820&lt;20, "Teenager", A820&lt;40, "Young Adult", A820&lt;60, "Senior Adult", A820&gt;=60, "Elderly")</f>
        <v>Senior Adult</v>
      </c>
    </row>
    <row r="821" spans="1:8" x14ac:dyDescent="0.25">
      <c r="A821" s="1">
        <v>33</v>
      </c>
      <c r="B821" t="s">
        <v>7</v>
      </c>
      <c r="C821" s="2">
        <v>35.5</v>
      </c>
      <c r="D821" s="1">
        <v>0</v>
      </c>
      <c r="E821" t="s">
        <v>9</v>
      </c>
      <c r="F821" t="s">
        <v>13</v>
      </c>
      <c r="G821" s="3">
        <v>55135.4</v>
      </c>
      <c r="H821" t="str" cm="1">
        <f t="array" ref="H821">_xlfn.IFS(A821&lt;13, "Child", A821&lt;20, "Teenager", A821&lt;40, "Young Adult", A821&lt;60, "Senior Adult", A821&gt;=60, "Elderly")</f>
        <v>Young Adult</v>
      </c>
    </row>
    <row r="822" spans="1:8" x14ac:dyDescent="0.25">
      <c r="A822" s="1">
        <v>45</v>
      </c>
      <c r="B822" t="s">
        <v>8</v>
      </c>
      <c r="C822" s="2">
        <v>33.700000000000003</v>
      </c>
      <c r="D822" s="1">
        <v>1</v>
      </c>
      <c r="E822" t="s">
        <v>10</v>
      </c>
      <c r="F822" t="s">
        <v>11</v>
      </c>
      <c r="G822" s="3">
        <v>7445.92</v>
      </c>
      <c r="H822" t="str" cm="1">
        <f t="array" ref="H822">_xlfn.IFS(A822&lt;13, "Child", A822&lt;20, "Teenager", A822&lt;40, "Young Adult", A822&lt;60, "Senior Adult", A822&gt;=60, "Elderly")</f>
        <v>Senior Adult</v>
      </c>
    </row>
    <row r="823" spans="1:8" x14ac:dyDescent="0.25">
      <c r="A823" s="1">
        <v>26</v>
      </c>
      <c r="B823" t="s">
        <v>8</v>
      </c>
      <c r="C823" s="2">
        <v>17.7</v>
      </c>
      <c r="D823" s="1">
        <v>0</v>
      </c>
      <c r="E823" t="s">
        <v>10</v>
      </c>
      <c r="F823" t="s">
        <v>13</v>
      </c>
      <c r="G823" s="3">
        <v>2680.95</v>
      </c>
      <c r="H823" t="str" cm="1">
        <f t="array" ref="H823">_xlfn.IFS(A823&lt;13, "Child", A823&lt;20, "Teenager", A823&lt;40, "Young Adult", A823&lt;60, "Senior Adult", A823&gt;=60, "Elderly")</f>
        <v>Young Adult</v>
      </c>
    </row>
    <row r="824" spans="1:8" x14ac:dyDescent="0.25">
      <c r="A824" s="1">
        <v>18</v>
      </c>
      <c r="B824" t="s">
        <v>7</v>
      </c>
      <c r="C824" s="2">
        <v>31.1</v>
      </c>
      <c r="D824" s="1">
        <v>0</v>
      </c>
      <c r="E824" t="s">
        <v>10</v>
      </c>
      <c r="F824" t="s">
        <v>12</v>
      </c>
      <c r="G824" s="3">
        <v>1621.88</v>
      </c>
      <c r="H824" t="str" cm="1">
        <f t="array" ref="H824">_xlfn.IFS(A824&lt;13, "Child", A824&lt;20, "Teenager", A824&lt;40, "Young Adult", A824&lt;60, "Senior Adult", A824&gt;=60, "Elderly")</f>
        <v>Teenager</v>
      </c>
    </row>
    <row r="825" spans="1:8" x14ac:dyDescent="0.25">
      <c r="A825" s="1">
        <v>44</v>
      </c>
      <c r="B825" t="s">
        <v>7</v>
      </c>
      <c r="C825" s="2">
        <v>29.8</v>
      </c>
      <c r="D825" s="1">
        <v>2</v>
      </c>
      <c r="E825" t="s">
        <v>10</v>
      </c>
      <c r="F825" t="s">
        <v>12</v>
      </c>
      <c r="G825" s="3">
        <v>8219.2000000000007</v>
      </c>
      <c r="H825" t="str" cm="1">
        <f t="array" ref="H825">_xlfn.IFS(A825&lt;13, "Child", A825&lt;20, "Teenager", A825&lt;40, "Young Adult", A825&lt;60, "Senior Adult", A825&gt;=60, "Elderly")</f>
        <v>Senior Adult</v>
      </c>
    </row>
    <row r="826" spans="1:8" x14ac:dyDescent="0.25">
      <c r="A826" s="1">
        <v>60</v>
      </c>
      <c r="B826" t="s">
        <v>8</v>
      </c>
      <c r="C826" s="2">
        <v>24.3</v>
      </c>
      <c r="D826" s="1">
        <v>0</v>
      </c>
      <c r="E826" t="s">
        <v>10</v>
      </c>
      <c r="F826" t="s">
        <v>13</v>
      </c>
      <c r="G826" s="3">
        <v>12523.6</v>
      </c>
      <c r="H826" t="str" cm="1">
        <f t="array" ref="H826">_xlfn.IFS(A826&lt;13, "Child", A826&lt;20, "Teenager", A826&lt;40, "Young Adult", A826&lt;60, "Senior Adult", A826&gt;=60, "Elderly")</f>
        <v>Elderly</v>
      </c>
    </row>
    <row r="827" spans="1:8" x14ac:dyDescent="0.25">
      <c r="A827" s="1">
        <v>64</v>
      </c>
      <c r="B827" t="s">
        <v>7</v>
      </c>
      <c r="C827" s="2">
        <v>31.8</v>
      </c>
      <c r="D827" s="1">
        <v>2</v>
      </c>
      <c r="E827" t="s">
        <v>10</v>
      </c>
      <c r="F827" t="s">
        <v>14</v>
      </c>
      <c r="G827" s="3">
        <v>16069.08</v>
      </c>
      <c r="H827" t="str" cm="1">
        <f t="array" ref="H827">_xlfn.IFS(A827&lt;13, "Child", A827&lt;20, "Teenager", A827&lt;40, "Young Adult", A827&lt;60, "Senior Adult", A827&gt;=60, "Elderly")</f>
        <v>Elderly</v>
      </c>
    </row>
    <row r="828" spans="1:8" x14ac:dyDescent="0.25">
      <c r="A828" s="1">
        <v>56</v>
      </c>
      <c r="B828" t="s">
        <v>8</v>
      </c>
      <c r="C828" s="2">
        <v>31.8</v>
      </c>
      <c r="D828" s="1">
        <v>2</v>
      </c>
      <c r="E828" t="s">
        <v>9</v>
      </c>
      <c r="F828" t="s">
        <v>12</v>
      </c>
      <c r="G828" s="3">
        <v>43813.87</v>
      </c>
      <c r="H828" t="str" cm="1">
        <f t="array" ref="H828">_xlfn.IFS(A828&lt;13, "Child", A828&lt;20, "Teenager", A828&lt;40, "Young Adult", A828&lt;60, "Senior Adult", A828&gt;=60, "Elderly")</f>
        <v>Senior Adult</v>
      </c>
    </row>
    <row r="829" spans="1:8" x14ac:dyDescent="0.25">
      <c r="A829" s="1">
        <v>36</v>
      </c>
      <c r="B829" t="s">
        <v>8</v>
      </c>
      <c r="C829" s="2">
        <v>28</v>
      </c>
      <c r="D829" s="1">
        <v>1</v>
      </c>
      <c r="E829" t="s">
        <v>9</v>
      </c>
      <c r="F829" t="s">
        <v>14</v>
      </c>
      <c r="G829" s="3">
        <v>20773.63</v>
      </c>
      <c r="H829" t="str" cm="1">
        <f t="array" ref="H829">_xlfn.IFS(A829&lt;13, "Child", A829&lt;20, "Teenager", A829&lt;40, "Young Adult", A829&lt;60, "Senior Adult", A829&gt;=60, "Elderly")</f>
        <v>Young Adult</v>
      </c>
    </row>
    <row r="830" spans="1:8" x14ac:dyDescent="0.25">
      <c r="A830" s="1">
        <v>41</v>
      </c>
      <c r="B830" t="s">
        <v>8</v>
      </c>
      <c r="C830" s="2">
        <v>30.8</v>
      </c>
      <c r="D830" s="1">
        <v>3</v>
      </c>
      <c r="E830" t="s">
        <v>9</v>
      </c>
      <c r="F830" t="s">
        <v>14</v>
      </c>
      <c r="G830" s="3">
        <v>39597.410000000003</v>
      </c>
      <c r="H830" t="str" cm="1">
        <f t="array" ref="H830">_xlfn.IFS(A830&lt;13, "Child", A830&lt;20, "Teenager", A830&lt;40, "Young Adult", A830&lt;60, "Senior Adult", A830&gt;=60, "Elderly")</f>
        <v>Senior Adult</v>
      </c>
    </row>
    <row r="831" spans="1:8" x14ac:dyDescent="0.25">
      <c r="A831" s="1">
        <v>39</v>
      </c>
      <c r="B831" t="s">
        <v>8</v>
      </c>
      <c r="C831" s="2">
        <v>21.9</v>
      </c>
      <c r="D831" s="1">
        <v>1</v>
      </c>
      <c r="E831" t="s">
        <v>10</v>
      </c>
      <c r="F831" t="s">
        <v>13</v>
      </c>
      <c r="G831" s="3">
        <v>6117.49</v>
      </c>
      <c r="H831" t="str" cm="1">
        <f t="array" ref="H831">_xlfn.IFS(A831&lt;13, "Child", A831&lt;20, "Teenager", A831&lt;40, "Young Adult", A831&lt;60, "Senior Adult", A831&gt;=60, "Elderly")</f>
        <v>Young Adult</v>
      </c>
    </row>
    <row r="832" spans="1:8" x14ac:dyDescent="0.25">
      <c r="A832" s="1">
        <v>63</v>
      </c>
      <c r="B832" t="s">
        <v>8</v>
      </c>
      <c r="C832" s="2">
        <v>33.1</v>
      </c>
      <c r="D832" s="1">
        <v>0</v>
      </c>
      <c r="E832" t="s">
        <v>10</v>
      </c>
      <c r="F832" t="s">
        <v>11</v>
      </c>
      <c r="G832" s="3">
        <v>13393.76</v>
      </c>
      <c r="H832" t="str" cm="1">
        <f t="array" ref="H832">_xlfn.IFS(A832&lt;13, "Child", A832&lt;20, "Teenager", A832&lt;40, "Young Adult", A832&lt;60, "Senior Adult", A832&gt;=60, "Elderly")</f>
        <v>Elderly</v>
      </c>
    </row>
    <row r="833" spans="1:8" x14ac:dyDescent="0.25">
      <c r="A833" s="1">
        <v>36</v>
      </c>
      <c r="B833" t="s">
        <v>7</v>
      </c>
      <c r="C833" s="2">
        <v>25.8</v>
      </c>
      <c r="D833" s="1">
        <v>0</v>
      </c>
      <c r="E833" t="s">
        <v>10</v>
      </c>
      <c r="F833" t="s">
        <v>13</v>
      </c>
      <c r="G833" s="3">
        <v>5266.37</v>
      </c>
      <c r="H833" t="str" cm="1">
        <f t="array" ref="H833">_xlfn.IFS(A833&lt;13, "Child", A833&lt;20, "Teenager", A833&lt;40, "Young Adult", A833&lt;60, "Senior Adult", A833&gt;=60, "Elderly")</f>
        <v>Young Adult</v>
      </c>
    </row>
    <row r="834" spans="1:8" x14ac:dyDescent="0.25">
      <c r="A834" s="1">
        <v>28</v>
      </c>
      <c r="B834" t="s">
        <v>7</v>
      </c>
      <c r="C834" s="2">
        <v>23.8</v>
      </c>
      <c r="D834" s="1">
        <v>2</v>
      </c>
      <c r="E834" t="s">
        <v>10</v>
      </c>
      <c r="F834" t="s">
        <v>13</v>
      </c>
      <c r="G834" s="3">
        <v>4719.74</v>
      </c>
      <c r="H834" t="str" cm="1">
        <f t="array" ref="H834">_xlfn.IFS(A834&lt;13, "Child", A834&lt;20, "Teenager", A834&lt;40, "Young Adult", A834&lt;60, "Senior Adult", A834&gt;=60, "Elderly")</f>
        <v>Young Adult</v>
      </c>
    </row>
    <row r="835" spans="1:8" x14ac:dyDescent="0.25">
      <c r="A835" s="1">
        <v>58</v>
      </c>
      <c r="B835" t="s">
        <v>8</v>
      </c>
      <c r="C835" s="2">
        <v>34.4</v>
      </c>
      <c r="D835" s="1">
        <v>0</v>
      </c>
      <c r="E835" t="s">
        <v>10</v>
      </c>
      <c r="F835" t="s">
        <v>13</v>
      </c>
      <c r="G835" s="3">
        <v>11743.93</v>
      </c>
      <c r="H835" t="str" cm="1">
        <f t="array" ref="H835">_xlfn.IFS(A835&lt;13, "Child", A835&lt;20, "Teenager", A835&lt;40, "Young Adult", A835&lt;60, "Senior Adult", A835&gt;=60, "Elderly")</f>
        <v>Senior Adult</v>
      </c>
    </row>
    <row r="836" spans="1:8" x14ac:dyDescent="0.25">
      <c r="A836" s="1">
        <v>36</v>
      </c>
      <c r="B836" t="s">
        <v>8</v>
      </c>
      <c r="C836" s="2">
        <v>33.799999999999997</v>
      </c>
      <c r="D836" s="1">
        <v>1</v>
      </c>
      <c r="E836" t="s">
        <v>10</v>
      </c>
      <c r="F836" t="s">
        <v>13</v>
      </c>
      <c r="G836" s="3">
        <v>5377.46</v>
      </c>
      <c r="H836" t="str" cm="1">
        <f t="array" ref="H836">_xlfn.IFS(A836&lt;13, "Child", A836&lt;20, "Teenager", A836&lt;40, "Young Adult", A836&lt;60, "Senior Adult", A836&gt;=60, "Elderly")</f>
        <v>Young Adult</v>
      </c>
    </row>
    <row r="837" spans="1:8" x14ac:dyDescent="0.25">
      <c r="A837" s="1">
        <v>42</v>
      </c>
      <c r="B837" t="s">
        <v>8</v>
      </c>
      <c r="C837" s="2">
        <v>36</v>
      </c>
      <c r="D837" s="1">
        <v>2</v>
      </c>
      <c r="E837" t="s">
        <v>10</v>
      </c>
      <c r="F837" t="s">
        <v>12</v>
      </c>
      <c r="G837" s="3">
        <v>7160.33</v>
      </c>
      <c r="H837" t="str" cm="1">
        <f t="array" ref="H837">_xlfn.IFS(A837&lt;13, "Child", A837&lt;20, "Teenager", A837&lt;40, "Young Adult", A837&lt;60, "Senior Adult", A837&gt;=60, "Elderly")</f>
        <v>Senior Adult</v>
      </c>
    </row>
    <row r="838" spans="1:8" x14ac:dyDescent="0.25">
      <c r="A838" s="1">
        <v>36</v>
      </c>
      <c r="B838" t="s">
        <v>8</v>
      </c>
      <c r="C838" s="2">
        <v>31.5</v>
      </c>
      <c r="D838" s="1">
        <v>0</v>
      </c>
      <c r="E838" t="s">
        <v>10</v>
      </c>
      <c r="F838" t="s">
        <v>11</v>
      </c>
      <c r="G838" s="3">
        <v>4402.2299999999996</v>
      </c>
      <c r="H838" t="str" cm="1">
        <f t="array" ref="H838">_xlfn.IFS(A838&lt;13, "Child", A838&lt;20, "Teenager", A838&lt;40, "Young Adult", A838&lt;60, "Senior Adult", A838&gt;=60, "Elderly")</f>
        <v>Young Adult</v>
      </c>
    </row>
    <row r="839" spans="1:8" x14ac:dyDescent="0.25">
      <c r="A839" s="1">
        <v>56</v>
      </c>
      <c r="B839" t="s">
        <v>7</v>
      </c>
      <c r="C839" s="2">
        <v>28.3</v>
      </c>
      <c r="D839" s="1">
        <v>0</v>
      </c>
      <c r="E839" t="s">
        <v>10</v>
      </c>
      <c r="F839" t="s">
        <v>14</v>
      </c>
      <c r="G839" s="3">
        <v>11657.72</v>
      </c>
      <c r="H839" t="str" cm="1">
        <f t="array" ref="H839">_xlfn.IFS(A839&lt;13, "Child", A839&lt;20, "Teenager", A839&lt;40, "Young Adult", A839&lt;60, "Senior Adult", A839&gt;=60, "Elderly")</f>
        <v>Senior Adult</v>
      </c>
    </row>
    <row r="840" spans="1:8" x14ac:dyDescent="0.25">
      <c r="A840" s="1">
        <v>35</v>
      </c>
      <c r="B840" t="s">
        <v>7</v>
      </c>
      <c r="C840" s="2">
        <v>23.5</v>
      </c>
      <c r="D840" s="1">
        <v>2</v>
      </c>
      <c r="E840" t="s">
        <v>10</v>
      </c>
      <c r="F840" t="s">
        <v>14</v>
      </c>
      <c r="G840" s="3">
        <v>6402.29</v>
      </c>
      <c r="H840" t="str" cm="1">
        <f t="array" ref="H840">_xlfn.IFS(A840&lt;13, "Child", A840&lt;20, "Teenager", A840&lt;40, "Young Adult", A840&lt;60, "Senior Adult", A840&gt;=60, "Elderly")</f>
        <v>Young Adult</v>
      </c>
    </row>
    <row r="841" spans="1:8" x14ac:dyDescent="0.25">
      <c r="A841" s="1">
        <v>59</v>
      </c>
      <c r="B841" t="s">
        <v>7</v>
      </c>
      <c r="C841" s="2">
        <v>31.4</v>
      </c>
      <c r="D841" s="1">
        <v>0</v>
      </c>
      <c r="E841" t="s">
        <v>10</v>
      </c>
      <c r="F841" t="s">
        <v>13</v>
      </c>
      <c r="G841" s="3">
        <v>12622.18</v>
      </c>
      <c r="H841" t="str" cm="1">
        <f t="array" ref="H841">_xlfn.IFS(A841&lt;13, "Child", A841&lt;20, "Teenager", A841&lt;40, "Young Adult", A841&lt;60, "Senior Adult", A841&gt;=60, "Elderly")</f>
        <v>Senior Adult</v>
      </c>
    </row>
    <row r="842" spans="1:8" x14ac:dyDescent="0.25">
      <c r="A842" s="1">
        <v>21</v>
      </c>
      <c r="B842" t="s">
        <v>8</v>
      </c>
      <c r="C842" s="2">
        <v>31.1</v>
      </c>
      <c r="D842" s="1">
        <v>0</v>
      </c>
      <c r="E842" t="s">
        <v>10</v>
      </c>
      <c r="F842" t="s">
        <v>11</v>
      </c>
      <c r="G842" s="3">
        <v>1526.31</v>
      </c>
      <c r="H842" t="str" cm="1">
        <f t="array" ref="H842">_xlfn.IFS(A842&lt;13, "Child", A842&lt;20, "Teenager", A842&lt;40, "Young Adult", A842&lt;60, "Senior Adult", A842&gt;=60, "Elderly")</f>
        <v>Young Adult</v>
      </c>
    </row>
    <row r="843" spans="1:8" x14ac:dyDescent="0.25">
      <c r="A843" s="1">
        <v>59</v>
      </c>
      <c r="B843" t="s">
        <v>8</v>
      </c>
      <c r="C843" s="2">
        <v>24.7</v>
      </c>
      <c r="D843" s="1">
        <v>0</v>
      </c>
      <c r="E843" t="s">
        <v>10</v>
      </c>
      <c r="F843" t="s">
        <v>14</v>
      </c>
      <c r="G843" s="3">
        <v>12323.94</v>
      </c>
      <c r="H843" t="str" cm="1">
        <f t="array" ref="H843">_xlfn.IFS(A843&lt;13, "Child", A843&lt;20, "Teenager", A843&lt;40, "Young Adult", A843&lt;60, "Senior Adult", A843&gt;=60, "Elderly")</f>
        <v>Senior Adult</v>
      </c>
    </row>
    <row r="844" spans="1:8" x14ac:dyDescent="0.25">
      <c r="A844" s="1">
        <v>23</v>
      </c>
      <c r="B844" t="s">
        <v>7</v>
      </c>
      <c r="C844" s="2">
        <v>32.799999999999997</v>
      </c>
      <c r="D844" s="1">
        <v>2</v>
      </c>
      <c r="E844" t="s">
        <v>9</v>
      </c>
      <c r="F844" t="s">
        <v>12</v>
      </c>
      <c r="G844" s="3">
        <v>36021.01</v>
      </c>
      <c r="H844" t="str" cm="1">
        <f t="array" ref="H844">_xlfn.IFS(A844&lt;13, "Child", A844&lt;20, "Teenager", A844&lt;40, "Young Adult", A844&lt;60, "Senior Adult", A844&gt;=60, "Elderly")</f>
        <v>Young Adult</v>
      </c>
    </row>
    <row r="845" spans="1:8" x14ac:dyDescent="0.25">
      <c r="A845" s="1">
        <v>57</v>
      </c>
      <c r="B845" t="s">
        <v>7</v>
      </c>
      <c r="C845" s="2">
        <v>29.8</v>
      </c>
      <c r="D845" s="1">
        <v>0</v>
      </c>
      <c r="E845" t="s">
        <v>9</v>
      </c>
      <c r="F845" t="s">
        <v>12</v>
      </c>
      <c r="G845" s="3">
        <v>27533.91</v>
      </c>
      <c r="H845" t="str" cm="1">
        <f t="array" ref="H845">_xlfn.IFS(A845&lt;13, "Child", A845&lt;20, "Teenager", A845&lt;40, "Young Adult", A845&lt;60, "Senior Adult", A845&gt;=60, "Elderly")</f>
        <v>Senior Adult</v>
      </c>
    </row>
    <row r="846" spans="1:8" x14ac:dyDescent="0.25">
      <c r="A846" s="1">
        <v>53</v>
      </c>
      <c r="B846" t="s">
        <v>8</v>
      </c>
      <c r="C846" s="2">
        <v>30.5</v>
      </c>
      <c r="D846" s="1">
        <v>0</v>
      </c>
      <c r="E846" t="s">
        <v>10</v>
      </c>
      <c r="F846" t="s">
        <v>14</v>
      </c>
      <c r="G846" s="3">
        <v>10072.06</v>
      </c>
      <c r="H846" t="str" cm="1">
        <f t="array" ref="H846">_xlfn.IFS(A846&lt;13, "Child", A846&lt;20, "Teenager", A846&lt;40, "Young Adult", A846&lt;60, "Senior Adult", A846&gt;=60, "Elderly")</f>
        <v>Senior Adult</v>
      </c>
    </row>
    <row r="847" spans="1:8" x14ac:dyDescent="0.25">
      <c r="A847" s="1">
        <v>60</v>
      </c>
      <c r="B847" t="s">
        <v>7</v>
      </c>
      <c r="C847" s="2">
        <v>32.5</v>
      </c>
      <c r="D847" s="1">
        <v>0</v>
      </c>
      <c r="E847" t="s">
        <v>9</v>
      </c>
      <c r="F847" t="s">
        <v>12</v>
      </c>
      <c r="G847" s="3">
        <v>45008.959999999999</v>
      </c>
      <c r="H847" t="str" cm="1">
        <f t="array" ref="H847">_xlfn.IFS(A847&lt;13, "Child", A847&lt;20, "Teenager", A847&lt;40, "Young Adult", A847&lt;60, "Senior Adult", A847&gt;=60, "Elderly")</f>
        <v>Elderly</v>
      </c>
    </row>
    <row r="848" spans="1:8" x14ac:dyDescent="0.25">
      <c r="A848" s="1">
        <v>51</v>
      </c>
      <c r="B848" t="s">
        <v>7</v>
      </c>
      <c r="C848" s="2">
        <v>34.200000000000003</v>
      </c>
      <c r="D848" s="1">
        <v>1</v>
      </c>
      <c r="E848" t="s">
        <v>10</v>
      </c>
      <c r="F848" t="s">
        <v>11</v>
      </c>
      <c r="G848" s="3">
        <v>9872.7000000000007</v>
      </c>
      <c r="H848" t="str" cm="1">
        <f t="array" ref="H848">_xlfn.IFS(A848&lt;13, "Child", A848&lt;20, "Teenager", A848&lt;40, "Young Adult", A848&lt;60, "Senior Adult", A848&gt;=60, "Elderly")</f>
        <v>Senior Adult</v>
      </c>
    </row>
    <row r="849" spans="1:8" x14ac:dyDescent="0.25">
      <c r="A849" s="1">
        <v>23</v>
      </c>
      <c r="B849" t="s">
        <v>8</v>
      </c>
      <c r="C849" s="2">
        <v>50.4</v>
      </c>
      <c r="D849" s="1">
        <v>1</v>
      </c>
      <c r="E849" t="s">
        <v>10</v>
      </c>
      <c r="F849" t="s">
        <v>12</v>
      </c>
      <c r="G849" s="3">
        <v>2438.06</v>
      </c>
      <c r="H849" t="str" cm="1">
        <f t="array" ref="H849">_xlfn.IFS(A849&lt;13, "Child", A849&lt;20, "Teenager", A849&lt;40, "Young Adult", A849&lt;60, "Senior Adult", A849&gt;=60, "Elderly")</f>
        <v>Young Adult</v>
      </c>
    </row>
    <row r="850" spans="1:8" x14ac:dyDescent="0.25">
      <c r="A850" s="1">
        <v>27</v>
      </c>
      <c r="B850" t="s">
        <v>7</v>
      </c>
      <c r="C850" s="2">
        <v>24.1</v>
      </c>
      <c r="D850" s="1">
        <v>0</v>
      </c>
      <c r="E850" t="s">
        <v>10</v>
      </c>
      <c r="F850" t="s">
        <v>11</v>
      </c>
      <c r="G850" s="3">
        <v>2974.13</v>
      </c>
      <c r="H850" t="str" cm="1">
        <f t="array" ref="H850">_xlfn.IFS(A850&lt;13, "Child", A850&lt;20, "Teenager", A850&lt;40, "Young Adult", A850&lt;60, "Senior Adult", A850&gt;=60, "Elderly")</f>
        <v>Young Adult</v>
      </c>
    </row>
    <row r="851" spans="1:8" x14ac:dyDescent="0.25">
      <c r="A851" s="1">
        <v>55</v>
      </c>
      <c r="B851" t="s">
        <v>8</v>
      </c>
      <c r="C851" s="2">
        <v>32.799999999999997</v>
      </c>
      <c r="D851" s="1">
        <v>0</v>
      </c>
      <c r="E851" t="s">
        <v>10</v>
      </c>
      <c r="F851" t="s">
        <v>13</v>
      </c>
      <c r="G851" s="3">
        <v>10601.63</v>
      </c>
      <c r="H851" t="str" cm="1">
        <f t="array" ref="H851">_xlfn.IFS(A851&lt;13, "Child", A851&lt;20, "Teenager", A851&lt;40, "Young Adult", A851&lt;60, "Senior Adult", A851&gt;=60, "Elderly")</f>
        <v>Senior Adult</v>
      </c>
    </row>
    <row r="852" spans="1:8" x14ac:dyDescent="0.25">
      <c r="A852" s="1">
        <v>37</v>
      </c>
      <c r="B852" t="s">
        <v>7</v>
      </c>
      <c r="C852" s="2">
        <v>30.8</v>
      </c>
      <c r="D852" s="1">
        <v>0</v>
      </c>
      <c r="E852" t="s">
        <v>9</v>
      </c>
      <c r="F852" t="s">
        <v>14</v>
      </c>
      <c r="G852" s="3">
        <v>37270.15</v>
      </c>
      <c r="H852" t="str" cm="1">
        <f t="array" ref="H852">_xlfn.IFS(A852&lt;13, "Child", A852&lt;20, "Teenager", A852&lt;40, "Young Adult", A852&lt;60, "Senior Adult", A852&gt;=60, "Elderly")</f>
        <v>Young Adult</v>
      </c>
    </row>
    <row r="853" spans="1:8" x14ac:dyDescent="0.25">
      <c r="A853" s="1">
        <v>61</v>
      </c>
      <c r="B853" t="s">
        <v>8</v>
      </c>
      <c r="C853" s="2">
        <v>32.299999999999997</v>
      </c>
      <c r="D853" s="1">
        <v>2</v>
      </c>
      <c r="E853" t="s">
        <v>10</v>
      </c>
      <c r="F853" t="s">
        <v>13</v>
      </c>
      <c r="G853" s="3">
        <v>14119.62</v>
      </c>
      <c r="H853" t="str" cm="1">
        <f t="array" ref="H853">_xlfn.IFS(A853&lt;13, "Child", A853&lt;20, "Teenager", A853&lt;40, "Young Adult", A853&lt;60, "Senior Adult", A853&gt;=60, "Elderly")</f>
        <v>Elderly</v>
      </c>
    </row>
    <row r="854" spans="1:8" x14ac:dyDescent="0.25">
      <c r="A854" s="1">
        <v>46</v>
      </c>
      <c r="B854" t="s">
        <v>7</v>
      </c>
      <c r="C854" s="2">
        <v>35.5</v>
      </c>
      <c r="D854" s="1">
        <v>0</v>
      </c>
      <c r="E854" t="s">
        <v>9</v>
      </c>
      <c r="F854" t="s">
        <v>14</v>
      </c>
      <c r="G854" s="3">
        <v>42111.66</v>
      </c>
      <c r="H854" t="str" cm="1">
        <f t="array" ref="H854">_xlfn.IFS(A854&lt;13, "Child", A854&lt;20, "Teenager", A854&lt;40, "Young Adult", A854&lt;60, "Senior Adult", A854&gt;=60, "Elderly")</f>
        <v>Senior Adult</v>
      </c>
    </row>
    <row r="855" spans="1:8" x14ac:dyDescent="0.25">
      <c r="A855" s="1">
        <v>53</v>
      </c>
      <c r="B855" t="s">
        <v>7</v>
      </c>
      <c r="C855" s="2">
        <v>23.8</v>
      </c>
      <c r="D855" s="1">
        <v>2</v>
      </c>
      <c r="E855" t="s">
        <v>10</v>
      </c>
      <c r="F855" t="s">
        <v>14</v>
      </c>
      <c r="G855" s="3">
        <v>11729.68</v>
      </c>
      <c r="H855" t="str" cm="1">
        <f t="array" ref="H855">_xlfn.IFS(A855&lt;13, "Child", A855&lt;20, "Teenager", A855&lt;40, "Young Adult", A855&lt;60, "Senior Adult", A855&gt;=60, "Elderly")</f>
        <v>Senior Adult</v>
      </c>
    </row>
    <row r="856" spans="1:8" x14ac:dyDescent="0.25">
      <c r="A856" s="1">
        <v>49</v>
      </c>
      <c r="B856" t="s">
        <v>7</v>
      </c>
      <c r="C856" s="2">
        <v>23.8</v>
      </c>
      <c r="D856" s="1">
        <v>3</v>
      </c>
      <c r="E856" t="s">
        <v>9</v>
      </c>
      <c r="F856" t="s">
        <v>14</v>
      </c>
      <c r="G856" s="3">
        <v>24106.91</v>
      </c>
      <c r="H856" t="str" cm="1">
        <f t="array" ref="H856">_xlfn.IFS(A856&lt;13, "Child", A856&lt;20, "Teenager", A856&lt;40, "Young Adult", A856&lt;60, "Senior Adult", A856&gt;=60, "Elderly")</f>
        <v>Senior Adult</v>
      </c>
    </row>
    <row r="857" spans="1:8" x14ac:dyDescent="0.25">
      <c r="A857" s="1">
        <v>20</v>
      </c>
      <c r="B857" t="s">
        <v>7</v>
      </c>
      <c r="C857" s="2">
        <v>29.6</v>
      </c>
      <c r="D857" s="1">
        <v>0</v>
      </c>
      <c r="E857" t="s">
        <v>10</v>
      </c>
      <c r="F857" t="s">
        <v>11</v>
      </c>
      <c r="G857" s="3">
        <v>1875.34</v>
      </c>
      <c r="H857" t="str" cm="1">
        <f t="array" ref="H857">_xlfn.IFS(A857&lt;13, "Child", A857&lt;20, "Teenager", A857&lt;40, "Young Adult", A857&lt;60, "Senior Adult", A857&gt;=60, "Elderly")</f>
        <v>Young Adult</v>
      </c>
    </row>
    <row r="858" spans="1:8" x14ac:dyDescent="0.25">
      <c r="A858" s="1">
        <v>48</v>
      </c>
      <c r="B858" t="s">
        <v>7</v>
      </c>
      <c r="C858" s="2">
        <v>33.1</v>
      </c>
      <c r="D858" s="1">
        <v>0</v>
      </c>
      <c r="E858" t="s">
        <v>9</v>
      </c>
      <c r="F858" t="s">
        <v>12</v>
      </c>
      <c r="G858" s="3">
        <v>40974.160000000003</v>
      </c>
      <c r="H858" t="str" cm="1">
        <f t="array" ref="H858">_xlfn.IFS(A858&lt;13, "Child", A858&lt;20, "Teenager", A858&lt;40, "Young Adult", A858&lt;60, "Senior Adult", A858&gt;=60, "Elderly")</f>
        <v>Senior Adult</v>
      </c>
    </row>
    <row r="859" spans="1:8" x14ac:dyDescent="0.25">
      <c r="A859" s="1">
        <v>25</v>
      </c>
      <c r="B859" t="s">
        <v>8</v>
      </c>
      <c r="C859" s="2">
        <v>24.1</v>
      </c>
      <c r="D859" s="1">
        <v>0</v>
      </c>
      <c r="E859" t="s">
        <v>9</v>
      </c>
      <c r="F859" t="s">
        <v>13</v>
      </c>
      <c r="G859" s="3">
        <v>15817.99</v>
      </c>
      <c r="H859" t="str" cm="1">
        <f t="array" ref="H859">_xlfn.IFS(A859&lt;13, "Child", A859&lt;20, "Teenager", A859&lt;40, "Young Adult", A859&lt;60, "Senior Adult", A859&gt;=60, "Elderly")</f>
        <v>Young Adult</v>
      </c>
    </row>
    <row r="860" spans="1:8" x14ac:dyDescent="0.25">
      <c r="A860" s="1">
        <v>25</v>
      </c>
      <c r="B860" t="s">
        <v>7</v>
      </c>
      <c r="C860" s="2">
        <v>32.200000000000003</v>
      </c>
      <c r="D860" s="1">
        <v>1</v>
      </c>
      <c r="E860" t="s">
        <v>10</v>
      </c>
      <c r="F860" t="s">
        <v>12</v>
      </c>
      <c r="G860" s="3">
        <v>18218.16</v>
      </c>
      <c r="H860" t="str" cm="1">
        <f t="array" ref="H860">_xlfn.IFS(A860&lt;13, "Child", A860&lt;20, "Teenager", A860&lt;40, "Young Adult", A860&lt;60, "Senior Adult", A860&gt;=60, "Elderly")</f>
        <v>Young Adult</v>
      </c>
    </row>
    <row r="861" spans="1:8" x14ac:dyDescent="0.25">
      <c r="A861" s="1">
        <v>57</v>
      </c>
      <c r="B861" t="s">
        <v>8</v>
      </c>
      <c r="C861" s="2">
        <v>28.1</v>
      </c>
      <c r="D861" s="1">
        <v>0</v>
      </c>
      <c r="E861" t="s">
        <v>10</v>
      </c>
      <c r="F861" t="s">
        <v>11</v>
      </c>
      <c r="G861" s="3">
        <v>10965.45</v>
      </c>
      <c r="H861" t="str" cm="1">
        <f t="array" ref="H861">_xlfn.IFS(A861&lt;13, "Child", A861&lt;20, "Teenager", A861&lt;40, "Young Adult", A861&lt;60, "Senior Adult", A861&gt;=60, "Elderly")</f>
        <v>Senior Adult</v>
      </c>
    </row>
    <row r="862" spans="1:8" x14ac:dyDescent="0.25">
      <c r="A862" s="1">
        <v>37</v>
      </c>
      <c r="B862" t="s">
        <v>7</v>
      </c>
      <c r="C862" s="2">
        <v>47.6</v>
      </c>
      <c r="D862" s="1">
        <v>2</v>
      </c>
      <c r="E862" t="s">
        <v>9</v>
      </c>
      <c r="F862" t="s">
        <v>11</v>
      </c>
      <c r="G862" s="3">
        <v>46113.51</v>
      </c>
      <c r="H862" t="str" cm="1">
        <f t="array" ref="H862">_xlfn.IFS(A862&lt;13, "Child", A862&lt;20, "Teenager", A862&lt;40, "Young Adult", A862&lt;60, "Senior Adult", A862&gt;=60, "Elderly")</f>
        <v>Young Adult</v>
      </c>
    </row>
    <row r="863" spans="1:8" x14ac:dyDescent="0.25">
      <c r="A863" s="1">
        <v>38</v>
      </c>
      <c r="B863" t="s">
        <v>7</v>
      </c>
      <c r="C863" s="2">
        <v>28</v>
      </c>
      <c r="D863" s="1">
        <v>3</v>
      </c>
      <c r="E863" t="s">
        <v>10</v>
      </c>
      <c r="F863" t="s">
        <v>11</v>
      </c>
      <c r="G863" s="3">
        <v>7151.09</v>
      </c>
      <c r="H863" t="str" cm="1">
        <f t="array" ref="H863">_xlfn.IFS(A863&lt;13, "Child", A863&lt;20, "Teenager", A863&lt;40, "Young Adult", A863&lt;60, "Senior Adult", A863&gt;=60, "Elderly")</f>
        <v>Young Adult</v>
      </c>
    </row>
    <row r="864" spans="1:8" x14ac:dyDescent="0.25">
      <c r="A864" s="1">
        <v>55</v>
      </c>
      <c r="B864" t="s">
        <v>7</v>
      </c>
      <c r="C864" s="2">
        <v>33.5</v>
      </c>
      <c r="D864" s="1">
        <v>2</v>
      </c>
      <c r="E864" t="s">
        <v>10</v>
      </c>
      <c r="F864" t="s">
        <v>13</v>
      </c>
      <c r="G864" s="3">
        <v>12269.69</v>
      </c>
      <c r="H864" t="str" cm="1">
        <f t="array" ref="H864">_xlfn.IFS(A864&lt;13, "Child", A864&lt;20, "Teenager", A864&lt;40, "Young Adult", A864&lt;60, "Senior Adult", A864&gt;=60, "Elderly")</f>
        <v>Senior Adult</v>
      </c>
    </row>
    <row r="865" spans="1:8" x14ac:dyDescent="0.25">
      <c r="A865" s="1">
        <v>36</v>
      </c>
      <c r="B865" t="s">
        <v>7</v>
      </c>
      <c r="C865" s="2">
        <v>19.899999999999999</v>
      </c>
      <c r="D865" s="1">
        <v>0</v>
      </c>
      <c r="E865" t="s">
        <v>10</v>
      </c>
      <c r="F865" t="s">
        <v>14</v>
      </c>
      <c r="G865" s="3">
        <v>5458.05</v>
      </c>
      <c r="H865" t="str" cm="1">
        <f t="array" ref="H865">_xlfn.IFS(A865&lt;13, "Child", A865&lt;20, "Teenager", A865&lt;40, "Young Adult", A865&lt;60, "Senior Adult", A865&gt;=60, "Elderly")</f>
        <v>Young Adult</v>
      </c>
    </row>
    <row r="866" spans="1:8" x14ac:dyDescent="0.25">
      <c r="A866" s="1">
        <v>51</v>
      </c>
      <c r="B866" t="s">
        <v>8</v>
      </c>
      <c r="C866" s="2">
        <v>25.4</v>
      </c>
      <c r="D866" s="1">
        <v>0</v>
      </c>
      <c r="E866" t="s">
        <v>10</v>
      </c>
      <c r="F866" t="s">
        <v>11</v>
      </c>
      <c r="G866" s="3">
        <v>8782.4699999999993</v>
      </c>
      <c r="H866" t="str" cm="1">
        <f t="array" ref="H866">_xlfn.IFS(A866&lt;13, "Child", A866&lt;20, "Teenager", A866&lt;40, "Young Adult", A866&lt;60, "Senior Adult", A866&gt;=60, "Elderly")</f>
        <v>Senior Adult</v>
      </c>
    </row>
    <row r="867" spans="1:8" x14ac:dyDescent="0.25">
      <c r="A867" s="1">
        <v>40</v>
      </c>
      <c r="B867" t="s">
        <v>8</v>
      </c>
      <c r="C867" s="2">
        <v>29.9</v>
      </c>
      <c r="D867" s="1">
        <v>2</v>
      </c>
      <c r="E867" t="s">
        <v>10</v>
      </c>
      <c r="F867" t="s">
        <v>11</v>
      </c>
      <c r="G867" s="3">
        <v>6600.36</v>
      </c>
      <c r="H867" t="str" cm="1">
        <f t="array" ref="H867">_xlfn.IFS(A867&lt;13, "Child", A867&lt;20, "Teenager", A867&lt;40, "Young Adult", A867&lt;60, "Senior Adult", A867&gt;=60, "Elderly")</f>
        <v>Senior Adult</v>
      </c>
    </row>
    <row r="868" spans="1:8" x14ac:dyDescent="0.25">
      <c r="A868" s="1">
        <v>18</v>
      </c>
      <c r="B868" t="s">
        <v>8</v>
      </c>
      <c r="C868" s="2">
        <v>37.299999999999997</v>
      </c>
      <c r="D868" s="1">
        <v>0</v>
      </c>
      <c r="E868" t="s">
        <v>10</v>
      </c>
      <c r="F868" t="s">
        <v>12</v>
      </c>
      <c r="G868" s="3">
        <v>1141.45</v>
      </c>
      <c r="H868" t="str" cm="1">
        <f t="array" ref="H868">_xlfn.IFS(A868&lt;13, "Child", A868&lt;20, "Teenager", A868&lt;40, "Young Adult", A868&lt;60, "Senior Adult", A868&gt;=60, "Elderly")</f>
        <v>Teenager</v>
      </c>
    </row>
    <row r="869" spans="1:8" x14ac:dyDescent="0.25">
      <c r="A869" s="1">
        <v>57</v>
      </c>
      <c r="B869" t="s">
        <v>8</v>
      </c>
      <c r="C869" s="2">
        <v>43.7</v>
      </c>
      <c r="D869" s="1">
        <v>1</v>
      </c>
      <c r="E869" t="s">
        <v>10</v>
      </c>
      <c r="F869" t="s">
        <v>11</v>
      </c>
      <c r="G869" s="3">
        <v>11576.13</v>
      </c>
      <c r="H869" t="str" cm="1">
        <f t="array" ref="H869">_xlfn.IFS(A869&lt;13, "Child", A869&lt;20, "Teenager", A869&lt;40, "Young Adult", A869&lt;60, "Senior Adult", A869&gt;=60, "Elderly")</f>
        <v>Senior Adult</v>
      </c>
    </row>
    <row r="870" spans="1:8" x14ac:dyDescent="0.25">
      <c r="A870" s="1">
        <v>61</v>
      </c>
      <c r="B870" t="s">
        <v>8</v>
      </c>
      <c r="C870" s="2">
        <v>23.7</v>
      </c>
      <c r="D870" s="1">
        <v>0</v>
      </c>
      <c r="E870" t="s">
        <v>10</v>
      </c>
      <c r="F870" t="s">
        <v>14</v>
      </c>
      <c r="G870" s="3">
        <v>13129.6</v>
      </c>
      <c r="H870" t="str" cm="1">
        <f t="array" ref="H870">_xlfn.IFS(A870&lt;13, "Child", A870&lt;20, "Teenager", A870&lt;40, "Young Adult", A870&lt;60, "Senior Adult", A870&gt;=60, "Elderly")</f>
        <v>Elderly</v>
      </c>
    </row>
    <row r="871" spans="1:8" x14ac:dyDescent="0.25">
      <c r="A871" s="1">
        <v>25</v>
      </c>
      <c r="B871" t="s">
        <v>7</v>
      </c>
      <c r="C871" s="2">
        <v>24.3</v>
      </c>
      <c r="D871" s="1">
        <v>3</v>
      </c>
      <c r="E871" t="s">
        <v>10</v>
      </c>
      <c r="F871" t="s">
        <v>11</v>
      </c>
      <c r="G871" s="3">
        <v>4391.6499999999996</v>
      </c>
      <c r="H871" t="str" cm="1">
        <f t="array" ref="H871">_xlfn.IFS(A871&lt;13, "Child", A871&lt;20, "Teenager", A871&lt;40, "Young Adult", A871&lt;60, "Senior Adult", A871&gt;=60, "Elderly")</f>
        <v>Young Adult</v>
      </c>
    </row>
    <row r="872" spans="1:8" x14ac:dyDescent="0.25">
      <c r="A872" s="1">
        <v>50</v>
      </c>
      <c r="B872" t="s">
        <v>8</v>
      </c>
      <c r="C872" s="2">
        <v>36.200000000000003</v>
      </c>
      <c r="D872" s="1">
        <v>0</v>
      </c>
      <c r="E872" t="s">
        <v>10</v>
      </c>
      <c r="F872" t="s">
        <v>11</v>
      </c>
      <c r="G872" s="3">
        <v>8457.82</v>
      </c>
      <c r="H872" t="str" cm="1">
        <f t="array" ref="H872">_xlfn.IFS(A872&lt;13, "Child", A872&lt;20, "Teenager", A872&lt;40, "Young Adult", A872&lt;60, "Senior Adult", A872&gt;=60, "Elderly")</f>
        <v>Senior Adult</v>
      </c>
    </row>
    <row r="873" spans="1:8" x14ac:dyDescent="0.25">
      <c r="A873" s="1">
        <v>26</v>
      </c>
      <c r="B873" t="s">
        <v>7</v>
      </c>
      <c r="C873" s="2">
        <v>29.5</v>
      </c>
      <c r="D873" s="1">
        <v>1</v>
      </c>
      <c r="E873" t="s">
        <v>10</v>
      </c>
      <c r="F873" t="s">
        <v>12</v>
      </c>
      <c r="G873" s="3">
        <v>3392.37</v>
      </c>
      <c r="H873" t="str" cm="1">
        <f t="array" ref="H873">_xlfn.IFS(A873&lt;13, "Child", A873&lt;20, "Teenager", A873&lt;40, "Young Adult", A873&lt;60, "Senior Adult", A873&gt;=60, "Elderly")</f>
        <v>Young Adult</v>
      </c>
    </row>
    <row r="874" spans="1:8" x14ac:dyDescent="0.25">
      <c r="A874" s="1">
        <v>42</v>
      </c>
      <c r="B874" t="s">
        <v>8</v>
      </c>
      <c r="C874" s="2">
        <v>24.9</v>
      </c>
      <c r="D874" s="1">
        <v>0</v>
      </c>
      <c r="E874" t="s">
        <v>10</v>
      </c>
      <c r="F874" t="s">
        <v>12</v>
      </c>
      <c r="G874" s="3">
        <v>5966.89</v>
      </c>
      <c r="H874" t="str" cm="1">
        <f t="array" ref="H874">_xlfn.IFS(A874&lt;13, "Child", A874&lt;20, "Teenager", A874&lt;40, "Young Adult", A874&lt;60, "Senior Adult", A874&gt;=60, "Elderly")</f>
        <v>Senior Adult</v>
      </c>
    </row>
    <row r="875" spans="1:8" x14ac:dyDescent="0.25">
      <c r="A875" s="1">
        <v>43</v>
      </c>
      <c r="B875" t="s">
        <v>8</v>
      </c>
      <c r="C875" s="2">
        <v>30.1</v>
      </c>
      <c r="D875" s="1">
        <v>1</v>
      </c>
      <c r="E875" t="s">
        <v>10</v>
      </c>
      <c r="F875" t="s">
        <v>11</v>
      </c>
      <c r="G875" s="3">
        <v>6849.03</v>
      </c>
      <c r="H875" t="str" cm="1">
        <f t="array" ref="H875">_xlfn.IFS(A875&lt;13, "Child", A875&lt;20, "Teenager", A875&lt;40, "Young Adult", A875&lt;60, "Senior Adult", A875&gt;=60, "Elderly")</f>
        <v>Senior Adult</v>
      </c>
    </row>
    <row r="876" spans="1:8" x14ac:dyDescent="0.25">
      <c r="A876" s="1">
        <v>44</v>
      </c>
      <c r="B876" t="s">
        <v>8</v>
      </c>
      <c r="C876" s="2">
        <v>21.9</v>
      </c>
      <c r="D876" s="1">
        <v>3</v>
      </c>
      <c r="E876" t="s">
        <v>10</v>
      </c>
      <c r="F876" t="s">
        <v>14</v>
      </c>
      <c r="G876" s="3">
        <v>8891.14</v>
      </c>
      <c r="H876" t="str" cm="1">
        <f t="array" ref="H876">_xlfn.IFS(A876&lt;13, "Child", A876&lt;20, "Teenager", A876&lt;40, "Young Adult", A876&lt;60, "Senior Adult", A876&gt;=60, "Elderly")</f>
        <v>Senior Adult</v>
      </c>
    </row>
    <row r="877" spans="1:8" x14ac:dyDescent="0.25">
      <c r="A877" s="1">
        <v>23</v>
      </c>
      <c r="B877" t="s">
        <v>7</v>
      </c>
      <c r="C877" s="2">
        <v>28.1</v>
      </c>
      <c r="D877" s="1">
        <v>0</v>
      </c>
      <c r="E877" t="s">
        <v>10</v>
      </c>
      <c r="F877" t="s">
        <v>13</v>
      </c>
      <c r="G877" s="3">
        <v>2690.11</v>
      </c>
      <c r="H877" t="str" cm="1">
        <f t="array" ref="H877">_xlfn.IFS(A877&lt;13, "Child", A877&lt;20, "Teenager", A877&lt;40, "Young Adult", A877&lt;60, "Senior Adult", A877&gt;=60, "Elderly")</f>
        <v>Young Adult</v>
      </c>
    </row>
    <row r="878" spans="1:8" x14ac:dyDescent="0.25">
      <c r="A878" s="1">
        <v>49</v>
      </c>
      <c r="B878" t="s">
        <v>7</v>
      </c>
      <c r="C878" s="2">
        <v>27.1</v>
      </c>
      <c r="D878" s="1">
        <v>1</v>
      </c>
      <c r="E878" t="s">
        <v>10</v>
      </c>
      <c r="F878" t="s">
        <v>11</v>
      </c>
      <c r="G878" s="3">
        <v>26140.36</v>
      </c>
      <c r="H878" t="str" cm="1">
        <f t="array" ref="H878">_xlfn.IFS(A878&lt;13, "Child", A878&lt;20, "Teenager", A878&lt;40, "Young Adult", A878&lt;60, "Senior Adult", A878&gt;=60, "Elderly")</f>
        <v>Senior Adult</v>
      </c>
    </row>
    <row r="879" spans="1:8" x14ac:dyDescent="0.25">
      <c r="A879" s="1">
        <v>33</v>
      </c>
      <c r="B879" t="s">
        <v>8</v>
      </c>
      <c r="C879" s="2">
        <v>33.4</v>
      </c>
      <c r="D879" s="1">
        <v>5</v>
      </c>
      <c r="E879" t="s">
        <v>10</v>
      </c>
      <c r="F879" t="s">
        <v>12</v>
      </c>
      <c r="G879" s="3">
        <v>6653.79</v>
      </c>
      <c r="H879" t="str" cm="1">
        <f t="array" ref="H879">_xlfn.IFS(A879&lt;13, "Child", A879&lt;20, "Teenager", A879&lt;40, "Young Adult", A879&lt;60, "Senior Adult", A879&gt;=60, "Elderly")</f>
        <v>Young Adult</v>
      </c>
    </row>
    <row r="880" spans="1:8" x14ac:dyDescent="0.25">
      <c r="A880" s="1">
        <v>41</v>
      </c>
      <c r="B880" t="s">
        <v>8</v>
      </c>
      <c r="C880" s="2">
        <v>28.8</v>
      </c>
      <c r="D880" s="1">
        <v>1</v>
      </c>
      <c r="E880" t="s">
        <v>10</v>
      </c>
      <c r="F880" t="s">
        <v>11</v>
      </c>
      <c r="G880" s="3">
        <v>6282.24</v>
      </c>
      <c r="H880" t="str" cm="1">
        <f t="array" ref="H880">_xlfn.IFS(A880&lt;13, "Child", A880&lt;20, "Teenager", A880&lt;40, "Young Adult", A880&lt;60, "Senior Adult", A880&gt;=60, "Elderly")</f>
        <v>Senior Adult</v>
      </c>
    </row>
    <row r="881" spans="1:8" x14ac:dyDescent="0.25">
      <c r="A881" s="1">
        <v>37</v>
      </c>
      <c r="B881" t="s">
        <v>7</v>
      </c>
      <c r="C881" s="2">
        <v>29.5</v>
      </c>
      <c r="D881" s="1">
        <v>2</v>
      </c>
      <c r="E881" t="s">
        <v>10</v>
      </c>
      <c r="F881" t="s">
        <v>11</v>
      </c>
      <c r="G881" s="3">
        <v>6311.95</v>
      </c>
      <c r="H881" t="str" cm="1">
        <f t="array" ref="H881">_xlfn.IFS(A881&lt;13, "Child", A881&lt;20, "Teenager", A881&lt;40, "Young Adult", A881&lt;60, "Senior Adult", A881&gt;=60, "Elderly")</f>
        <v>Young Adult</v>
      </c>
    </row>
    <row r="882" spans="1:8" x14ac:dyDescent="0.25">
      <c r="A882" s="1">
        <v>22</v>
      </c>
      <c r="B882" t="s">
        <v>8</v>
      </c>
      <c r="C882" s="2">
        <v>34.799999999999997</v>
      </c>
      <c r="D882" s="1">
        <v>3</v>
      </c>
      <c r="E882" t="s">
        <v>10</v>
      </c>
      <c r="F882" t="s">
        <v>11</v>
      </c>
      <c r="G882" s="3">
        <v>3443.06</v>
      </c>
      <c r="H882" t="str" cm="1">
        <f t="array" ref="H882">_xlfn.IFS(A882&lt;13, "Child", A882&lt;20, "Teenager", A882&lt;40, "Young Adult", A882&lt;60, "Senior Adult", A882&gt;=60, "Elderly")</f>
        <v>Young Adult</v>
      </c>
    </row>
    <row r="883" spans="1:8" x14ac:dyDescent="0.25">
      <c r="A883" s="1">
        <v>23</v>
      </c>
      <c r="B883" t="s">
        <v>8</v>
      </c>
      <c r="C883" s="2">
        <v>27.4</v>
      </c>
      <c r="D883" s="1">
        <v>1</v>
      </c>
      <c r="E883" t="s">
        <v>10</v>
      </c>
      <c r="F883" t="s">
        <v>13</v>
      </c>
      <c r="G883" s="3">
        <v>2789.06</v>
      </c>
      <c r="H883" t="str" cm="1">
        <f t="array" ref="H883">_xlfn.IFS(A883&lt;13, "Child", A883&lt;20, "Teenager", A883&lt;40, "Young Adult", A883&lt;60, "Senior Adult", A883&gt;=60, "Elderly")</f>
        <v>Young Adult</v>
      </c>
    </row>
    <row r="884" spans="1:8" x14ac:dyDescent="0.25">
      <c r="A884" s="1">
        <v>21</v>
      </c>
      <c r="B884" t="s">
        <v>7</v>
      </c>
      <c r="C884" s="2">
        <v>22.1</v>
      </c>
      <c r="D884" s="1">
        <v>0</v>
      </c>
      <c r="E884" t="s">
        <v>10</v>
      </c>
      <c r="F884" t="s">
        <v>14</v>
      </c>
      <c r="G884" s="3">
        <v>2585.85</v>
      </c>
      <c r="H884" t="str" cm="1">
        <f t="array" ref="H884">_xlfn.IFS(A884&lt;13, "Child", A884&lt;20, "Teenager", A884&lt;40, "Young Adult", A884&lt;60, "Senior Adult", A884&gt;=60, "Elderly")</f>
        <v>Young Adult</v>
      </c>
    </row>
    <row r="885" spans="1:8" x14ac:dyDescent="0.25">
      <c r="A885" s="1">
        <v>51</v>
      </c>
      <c r="B885" t="s">
        <v>7</v>
      </c>
      <c r="C885" s="2">
        <v>37.1</v>
      </c>
      <c r="D885" s="1">
        <v>3</v>
      </c>
      <c r="E885" t="s">
        <v>9</v>
      </c>
      <c r="F885" t="s">
        <v>14</v>
      </c>
      <c r="G885" s="3">
        <v>46255.11</v>
      </c>
      <c r="H885" t="str" cm="1">
        <f t="array" ref="H885">_xlfn.IFS(A885&lt;13, "Child", A885&lt;20, "Teenager", A885&lt;40, "Young Adult", A885&lt;60, "Senior Adult", A885&gt;=60, "Elderly")</f>
        <v>Senior Adult</v>
      </c>
    </row>
    <row r="886" spans="1:8" x14ac:dyDescent="0.25">
      <c r="A886" s="1">
        <v>25</v>
      </c>
      <c r="B886" t="s">
        <v>8</v>
      </c>
      <c r="C886" s="2">
        <v>26.7</v>
      </c>
      <c r="D886" s="1">
        <v>4</v>
      </c>
      <c r="E886" t="s">
        <v>10</v>
      </c>
      <c r="F886" t="s">
        <v>13</v>
      </c>
      <c r="G886" s="3">
        <v>4877.9799999999996</v>
      </c>
      <c r="H886" t="str" cm="1">
        <f t="array" ref="H886">_xlfn.IFS(A886&lt;13, "Child", A886&lt;20, "Teenager", A886&lt;40, "Young Adult", A886&lt;60, "Senior Adult", A886&gt;=60, "Elderly")</f>
        <v>Young Adult</v>
      </c>
    </row>
    <row r="887" spans="1:8" x14ac:dyDescent="0.25">
      <c r="A887" s="1">
        <v>32</v>
      </c>
      <c r="B887" t="s">
        <v>8</v>
      </c>
      <c r="C887" s="2">
        <v>28.9</v>
      </c>
      <c r="D887" s="1">
        <v>1</v>
      </c>
      <c r="E887" t="s">
        <v>9</v>
      </c>
      <c r="F887" t="s">
        <v>12</v>
      </c>
      <c r="G887" s="3">
        <v>19719.689999999999</v>
      </c>
      <c r="H887" t="str" cm="1">
        <f t="array" ref="H887">_xlfn.IFS(A887&lt;13, "Child", A887&lt;20, "Teenager", A887&lt;40, "Young Adult", A887&lt;60, "Senior Adult", A887&gt;=60, "Elderly")</f>
        <v>Young Adult</v>
      </c>
    </row>
    <row r="888" spans="1:8" x14ac:dyDescent="0.25">
      <c r="A888" s="1">
        <v>57</v>
      </c>
      <c r="B888" t="s">
        <v>8</v>
      </c>
      <c r="C888" s="2">
        <v>29</v>
      </c>
      <c r="D888" s="1">
        <v>0</v>
      </c>
      <c r="E888" t="s">
        <v>9</v>
      </c>
      <c r="F888" t="s">
        <v>14</v>
      </c>
      <c r="G888" s="3">
        <v>27218.44</v>
      </c>
      <c r="H888" t="str" cm="1">
        <f t="array" ref="H888">_xlfn.IFS(A888&lt;13, "Child", A888&lt;20, "Teenager", A888&lt;40, "Young Adult", A888&lt;60, "Senior Adult", A888&gt;=60, "Elderly")</f>
        <v>Senior Adult</v>
      </c>
    </row>
    <row r="889" spans="1:8" x14ac:dyDescent="0.25">
      <c r="A889" s="1">
        <v>36</v>
      </c>
      <c r="B889" t="s">
        <v>7</v>
      </c>
      <c r="C889" s="2">
        <v>30</v>
      </c>
      <c r="D889" s="1">
        <v>0</v>
      </c>
      <c r="E889" t="s">
        <v>10</v>
      </c>
      <c r="F889" t="s">
        <v>13</v>
      </c>
      <c r="G889" s="3">
        <v>5272.18</v>
      </c>
      <c r="H889" t="str" cm="1">
        <f t="array" ref="H889">_xlfn.IFS(A889&lt;13, "Child", A889&lt;20, "Teenager", A889&lt;40, "Young Adult", A889&lt;60, "Senior Adult", A889&gt;=60, "Elderly")</f>
        <v>Young Adult</v>
      </c>
    </row>
    <row r="890" spans="1:8" x14ac:dyDescent="0.25">
      <c r="A890" s="1">
        <v>22</v>
      </c>
      <c r="B890" t="s">
        <v>8</v>
      </c>
      <c r="C890" s="2">
        <v>39.5</v>
      </c>
      <c r="D890" s="1">
        <v>0</v>
      </c>
      <c r="E890" t="s">
        <v>10</v>
      </c>
      <c r="F890" t="s">
        <v>11</v>
      </c>
      <c r="G890" s="3">
        <v>1682.6</v>
      </c>
      <c r="H890" t="str" cm="1">
        <f t="array" ref="H890">_xlfn.IFS(A890&lt;13, "Child", A890&lt;20, "Teenager", A890&lt;40, "Young Adult", A890&lt;60, "Senior Adult", A890&gt;=60, "Elderly")</f>
        <v>Young Adult</v>
      </c>
    </row>
    <row r="891" spans="1:8" x14ac:dyDescent="0.25">
      <c r="A891" s="1">
        <v>57</v>
      </c>
      <c r="B891" t="s">
        <v>8</v>
      </c>
      <c r="C891" s="2">
        <v>33.6</v>
      </c>
      <c r="D891" s="1">
        <v>1</v>
      </c>
      <c r="E891" t="s">
        <v>10</v>
      </c>
      <c r="F891" t="s">
        <v>13</v>
      </c>
      <c r="G891" s="3">
        <v>11945.13</v>
      </c>
      <c r="H891" t="str" cm="1">
        <f t="array" ref="H891">_xlfn.IFS(A891&lt;13, "Child", A891&lt;20, "Teenager", A891&lt;40, "Young Adult", A891&lt;60, "Senior Adult", A891&gt;=60, "Elderly")</f>
        <v>Senior Adult</v>
      </c>
    </row>
    <row r="892" spans="1:8" x14ac:dyDescent="0.25">
      <c r="A892" s="1">
        <v>64</v>
      </c>
      <c r="B892" t="s">
        <v>7</v>
      </c>
      <c r="C892" s="2">
        <v>26.9</v>
      </c>
      <c r="D892" s="1">
        <v>0</v>
      </c>
      <c r="E892" t="s">
        <v>9</v>
      </c>
      <c r="F892" t="s">
        <v>13</v>
      </c>
      <c r="G892" s="3">
        <v>29330.98</v>
      </c>
      <c r="H892" t="str" cm="1">
        <f t="array" ref="H892">_xlfn.IFS(A892&lt;13, "Child", A892&lt;20, "Teenager", A892&lt;40, "Young Adult", A892&lt;60, "Senior Adult", A892&gt;=60, "Elderly")</f>
        <v>Elderly</v>
      </c>
    </row>
    <row r="893" spans="1:8" x14ac:dyDescent="0.25">
      <c r="A893" s="1">
        <v>36</v>
      </c>
      <c r="B893" t="s">
        <v>7</v>
      </c>
      <c r="C893" s="2">
        <v>29</v>
      </c>
      <c r="D893" s="1">
        <v>4</v>
      </c>
      <c r="E893" t="s">
        <v>10</v>
      </c>
      <c r="F893" t="s">
        <v>12</v>
      </c>
      <c r="G893" s="3">
        <v>7243.81</v>
      </c>
      <c r="H893" t="str" cm="1">
        <f t="array" ref="H893">_xlfn.IFS(A893&lt;13, "Child", A893&lt;20, "Teenager", A893&lt;40, "Young Adult", A893&lt;60, "Senior Adult", A893&gt;=60, "Elderly")</f>
        <v>Young Adult</v>
      </c>
    </row>
    <row r="894" spans="1:8" x14ac:dyDescent="0.25">
      <c r="A894" s="1">
        <v>54</v>
      </c>
      <c r="B894" t="s">
        <v>8</v>
      </c>
      <c r="C894" s="2">
        <v>24</v>
      </c>
      <c r="D894" s="1">
        <v>0</v>
      </c>
      <c r="E894" t="s">
        <v>10</v>
      </c>
      <c r="F894" t="s">
        <v>14</v>
      </c>
      <c r="G894" s="3">
        <v>10422.92</v>
      </c>
      <c r="H894" t="str" cm="1">
        <f t="array" ref="H894">_xlfn.IFS(A894&lt;13, "Child", A894&lt;20, "Teenager", A894&lt;40, "Young Adult", A894&lt;60, "Senior Adult", A894&gt;=60, "Elderly")</f>
        <v>Senior Adult</v>
      </c>
    </row>
    <row r="895" spans="1:8" x14ac:dyDescent="0.25">
      <c r="A895" s="1">
        <v>47</v>
      </c>
      <c r="B895" t="s">
        <v>8</v>
      </c>
      <c r="C895" s="2">
        <v>38.9</v>
      </c>
      <c r="D895" s="1">
        <v>2</v>
      </c>
      <c r="E895" t="s">
        <v>9</v>
      </c>
      <c r="F895" t="s">
        <v>12</v>
      </c>
      <c r="G895" s="3">
        <v>44202.65</v>
      </c>
      <c r="H895" t="str" cm="1">
        <f t="array" ref="H895">_xlfn.IFS(A895&lt;13, "Child", A895&lt;20, "Teenager", A895&lt;40, "Young Adult", A895&lt;60, "Senior Adult", A895&gt;=60, "Elderly")</f>
        <v>Senior Adult</v>
      </c>
    </row>
    <row r="896" spans="1:8" x14ac:dyDescent="0.25">
      <c r="A896" s="1">
        <v>62</v>
      </c>
      <c r="B896" t="s">
        <v>8</v>
      </c>
      <c r="C896" s="2">
        <v>32.1</v>
      </c>
      <c r="D896" s="1">
        <v>0</v>
      </c>
      <c r="E896" t="s">
        <v>10</v>
      </c>
      <c r="F896" t="s">
        <v>14</v>
      </c>
      <c r="G896" s="3">
        <v>13555</v>
      </c>
      <c r="H896" t="str" cm="1">
        <f t="array" ref="H896">_xlfn.IFS(A896&lt;13, "Child", A896&lt;20, "Teenager", A896&lt;40, "Young Adult", A896&lt;60, "Senior Adult", A896&gt;=60, "Elderly")</f>
        <v>Elderly</v>
      </c>
    </row>
    <row r="897" spans="1:8" x14ac:dyDescent="0.25">
      <c r="A897" s="1">
        <v>61</v>
      </c>
      <c r="B897" t="s">
        <v>7</v>
      </c>
      <c r="C897" s="2">
        <v>44</v>
      </c>
      <c r="D897" s="1">
        <v>0</v>
      </c>
      <c r="E897" t="s">
        <v>10</v>
      </c>
      <c r="F897" t="s">
        <v>11</v>
      </c>
      <c r="G897" s="3">
        <v>13063.88</v>
      </c>
      <c r="H897" t="str" cm="1">
        <f t="array" ref="H897">_xlfn.IFS(A897&lt;13, "Child", A897&lt;20, "Teenager", A897&lt;40, "Young Adult", A897&lt;60, "Senior Adult", A897&gt;=60, "Elderly")</f>
        <v>Elderly</v>
      </c>
    </row>
    <row r="898" spans="1:8" x14ac:dyDescent="0.25">
      <c r="A898" s="1">
        <v>43</v>
      </c>
      <c r="B898" t="s">
        <v>7</v>
      </c>
      <c r="C898" s="2">
        <v>20</v>
      </c>
      <c r="D898" s="1">
        <v>2</v>
      </c>
      <c r="E898" t="s">
        <v>9</v>
      </c>
      <c r="F898" t="s">
        <v>14</v>
      </c>
      <c r="G898" s="3">
        <v>19798.05</v>
      </c>
      <c r="H898" t="str" cm="1">
        <f t="array" ref="H898">_xlfn.IFS(A898&lt;13, "Child", A898&lt;20, "Teenager", A898&lt;40, "Young Adult", A898&lt;60, "Senior Adult", A898&gt;=60, "Elderly")</f>
        <v>Senior Adult</v>
      </c>
    </row>
    <row r="899" spans="1:8" x14ac:dyDescent="0.25">
      <c r="A899" s="1">
        <v>19</v>
      </c>
      <c r="B899" t="s">
        <v>8</v>
      </c>
      <c r="C899" s="2">
        <v>25.6</v>
      </c>
      <c r="D899" s="1">
        <v>1</v>
      </c>
      <c r="E899" t="s">
        <v>10</v>
      </c>
      <c r="F899" t="s">
        <v>13</v>
      </c>
      <c r="G899" s="3">
        <v>2221.56</v>
      </c>
      <c r="H899" t="str" cm="1">
        <f t="array" ref="H899">_xlfn.IFS(A899&lt;13, "Child", A899&lt;20, "Teenager", A899&lt;40, "Young Adult", A899&lt;60, "Senior Adult", A899&gt;=60, "Elderly")</f>
        <v>Teenager</v>
      </c>
    </row>
    <row r="900" spans="1:8" x14ac:dyDescent="0.25">
      <c r="A900" s="1">
        <v>18</v>
      </c>
      <c r="B900" t="s">
        <v>7</v>
      </c>
      <c r="C900" s="2">
        <v>40.299999999999997</v>
      </c>
      <c r="D900" s="1">
        <v>0</v>
      </c>
      <c r="E900" t="s">
        <v>10</v>
      </c>
      <c r="F900" t="s">
        <v>12</v>
      </c>
      <c r="G900" s="3">
        <v>1634.57</v>
      </c>
      <c r="H900" t="str" cm="1">
        <f t="array" ref="H900">_xlfn.IFS(A900&lt;13, "Child", A900&lt;20, "Teenager", A900&lt;40, "Young Adult", A900&lt;60, "Senior Adult", A900&gt;=60, "Elderly")</f>
        <v>Teenager</v>
      </c>
    </row>
    <row r="901" spans="1:8" x14ac:dyDescent="0.25">
      <c r="A901" s="1">
        <v>19</v>
      </c>
      <c r="B901" t="s">
        <v>7</v>
      </c>
      <c r="C901" s="2">
        <v>22.5</v>
      </c>
      <c r="D901" s="1">
        <v>0</v>
      </c>
      <c r="E901" t="s">
        <v>10</v>
      </c>
      <c r="F901" t="s">
        <v>13</v>
      </c>
      <c r="G901" s="3">
        <v>2117.34</v>
      </c>
      <c r="H901" t="str" cm="1">
        <f t="array" ref="H901">_xlfn.IFS(A901&lt;13, "Child", A901&lt;20, "Teenager", A901&lt;40, "Young Adult", A901&lt;60, "Senior Adult", A901&gt;=60, "Elderly")</f>
        <v>Teenager</v>
      </c>
    </row>
    <row r="902" spans="1:8" x14ac:dyDescent="0.25">
      <c r="A902" s="1">
        <v>49</v>
      </c>
      <c r="B902" t="s">
        <v>8</v>
      </c>
      <c r="C902" s="2">
        <v>22.5</v>
      </c>
      <c r="D902" s="1">
        <v>0</v>
      </c>
      <c r="E902" t="s">
        <v>10</v>
      </c>
      <c r="F902" t="s">
        <v>14</v>
      </c>
      <c r="G902" s="3">
        <v>8688.86</v>
      </c>
      <c r="H902" t="str" cm="1">
        <f t="array" ref="H902">_xlfn.IFS(A902&lt;13, "Child", A902&lt;20, "Teenager", A902&lt;40, "Young Adult", A902&lt;60, "Senior Adult", A902&gt;=60, "Elderly")</f>
        <v>Senior Adult</v>
      </c>
    </row>
    <row r="903" spans="1:8" x14ac:dyDescent="0.25">
      <c r="A903" s="1">
        <v>60</v>
      </c>
      <c r="B903" t="s">
        <v>8</v>
      </c>
      <c r="C903" s="2">
        <v>40.9</v>
      </c>
      <c r="D903" s="1">
        <v>0</v>
      </c>
      <c r="E903" t="s">
        <v>9</v>
      </c>
      <c r="F903" t="s">
        <v>12</v>
      </c>
      <c r="G903" s="3">
        <v>48673.56</v>
      </c>
      <c r="H903" t="str" cm="1">
        <f t="array" ref="H903">_xlfn.IFS(A903&lt;13, "Child", A903&lt;20, "Teenager", A903&lt;40, "Young Adult", A903&lt;60, "Senior Adult", A903&gt;=60, "Elderly")</f>
        <v>Elderly</v>
      </c>
    </row>
    <row r="904" spans="1:8" x14ac:dyDescent="0.25">
      <c r="A904" s="1">
        <v>26</v>
      </c>
      <c r="B904" t="s">
        <v>8</v>
      </c>
      <c r="C904" s="2">
        <v>27.3</v>
      </c>
      <c r="D904" s="1">
        <v>3</v>
      </c>
      <c r="E904" t="s">
        <v>10</v>
      </c>
      <c r="F904" t="s">
        <v>14</v>
      </c>
      <c r="G904" s="3">
        <v>4661.29</v>
      </c>
      <c r="H904" t="str" cm="1">
        <f t="array" ref="H904">_xlfn.IFS(A904&lt;13, "Child", A904&lt;20, "Teenager", A904&lt;40, "Young Adult", A904&lt;60, "Senior Adult", A904&gt;=60, "Elderly")</f>
        <v>Young Adult</v>
      </c>
    </row>
    <row r="905" spans="1:8" x14ac:dyDescent="0.25">
      <c r="A905" s="1">
        <v>49</v>
      </c>
      <c r="B905" t="s">
        <v>8</v>
      </c>
      <c r="C905" s="2">
        <v>36.9</v>
      </c>
      <c r="D905" s="1">
        <v>0</v>
      </c>
      <c r="E905" t="s">
        <v>10</v>
      </c>
      <c r="F905" t="s">
        <v>12</v>
      </c>
      <c r="G905" s="3">
        <v>8125.78</v>
      </c>
      <c r="H905" t="str" cm="1">
        <f t="array" ref="H905">_xlfn.IFS(A905&lt;13, "Child", A905&lt;20, "Teenager", A905&lt;40, "Young Adult", A905&lt;60, "Senior Adult", A905&gt;=60, "Elderly")</f>
        <v>Senior Adult</v>
      </c>
    </row>
    <row r="906" spans="1:8" x14ac:dyDescent="0.25">
      <c r="A906" s="1">
        <v>60</v>
      </c>
      <c r="B906" t="s">
        <v>7</v>
      </c>
      <c r="C906" s="2">
        <v>35.1</v>
      </c>
      <c r="D906" s="1">
        <v>0</v>
      </c>
      <c r="E906" t="s">
        <v>10</v>
      </c>
      <c r="F906" t="s">
        <v>11</v>
      </c>
      <c r="G906" s="3">
        <v>12644.59</v>
      </c>
      <c r="H906" t="str" cm="1">
        <f t="array" ref="H906">_xlfn.IFS(A906&lt;13, "Child", A906&lt;20, "Teenager", A906&lt;40, "Young Adult", A906&lt;60, "Senior Adult", A906&gt;=60, "Elderly")</f>
        <v>Elderly</v>
      </c>
    </row>
    <row r="907" spans="1:8" x14ac:dyDescent="0.25">
      <c r="A907" s="1">
        <v>26</v>
      </c>
      <c r="B907" t="s">
        <v>7</v>
      </c>
      <c r="C907" s="2">
        <v>29.4</v>
      </c>
      <c r="D907" s="1">
        <v>2</v>
      </c>
      <c r="E907" t="s">
        <v>10</v>
      </c>
      <c r="F907" t="s">
        <v>14</v>
      </c>
      <c r="G907" s="3">
        <v>4564.1899999999996</v>
      </c>
      <c r="H907" t="str" cm="1">
        <f t="array" ref="H907">_xlfn.IFS(A907&lt;13, "Child", A907&lt;20, "Teenager", A907&lt;40, "Young Adult", A907&lt;60, "Senior Adult", A907&gt;=60, "Elderly")</f>
        <v>Young Adult</v>
      </c>
    </row>
    <row r="908" spans="1:8" x14ac:dyDescent="0.25">
      <c r="A908" s="1">
        <v>27</v>
      </c>
      <c r="B908" t="s">
        <v>8</v>
      </c>
      <c r="C908" s="2">
        <v>32.6</v>
      </c>
      <c r="D908" s="1">
        <v>3</v>
      </c>
      <c r="E908" t="s">
        <v>10</v>
      </c>
      <c r="F908" t="s">
        <v>14</v>
      </c>
      <c r="G908" s="3">
        <v>4846.92</v>
      </c>
      <c r="H908" t="str" cm="1">
        <f t="array" ref="H908">_xlfn.IFS(A908&lt;13, "Child", A908&lt;20, "Teenager", A908&lt;40, "Young Adult", A908&lt;60, "Senior Adult", A908&gt;=60, "Elderly")</f>
        <v>Young Adult</v>
      </c>
    </row>
    <row r="909" spans="1:8" x14ac:dyDescent="0.25">
      <c r="A909" s="1">
        <v>44</v>
      </c>
      <c r="B909" t="s">
        <v>7</v>
      </c>
      <c r="C909" s="2">
        <v>32.299999999999997</v>
      </c>
      <c r="D909" s="1">
        <v>1</v>
      </c>
      <c r="E909" t="s">
        <v>10</v>
      </c>
      <c r="F909" t="s">
        <v>12</v>
      </c>
      <c r="G909" s="3">
        <v>7633.72</v>
      </c>
      <c r="H909" t="str" cm="1">
        <f t="array" ref="H909">_xlfn.IFS(A909&lt;13, "Child", A909&lt;20, "Teenager", A909&lt;40, "Young Adult", A909&lt;60, "Senior Adult", A909&gt;=60, "Elderly")</f>
        <v>Senior Adult</v>
      </c>
    </row>
    <row r="910" spans="1:8" x14ac:dyDescent="0.25">
      <c r="A910" s="1">
        <v>63</v>
      </c>
      <c r="B910" t="s">
        <v>8</v>
      </c>
      <c r="C910" s="2">
        <v>39.799999999999997</v>
      </c>
      <c r="D910" s="1">
        <v>3</v>
      </c>
      <c r="E910" t="s">
        <v>10</v>
      </c>
      <c r="F910" t="s">
        <v>11</v>
      </c>
      <c r="G910" s="3">
        <v>15170.07</v>
      </c>
      <c r="H910" t="str" cm="1">
        <f t="array" ref="H910">_xlfn.IFS(A910&lt;13, "Child", A910&lt;20, "Teenager", A910&lt;40, "Young Adult", A910&lt;60, "Senior Adult", A910&gt;=60, "Elderly")</f>
        <v>Elderly</v>
      </c>
    </row>
    <row r="911" spans="1:8" x14ac:dyDescent="0.25">
      <c r="A911" s="1">
        <v>32</v>
      </c>
      <c r="B911" t="s">
        <v>7</v>
      </c>
      <c r="C911" s="2">
        <v>24.6</v>
      </c>
      <c r="D911" s="1">
        <v>0</v>
      </c>
      <c r="E911" t="s">
        <v>9</v>
      </c>
      <c r="F911" t="s">
        <v>11</v>
      </c>
      <c r="G911" s="3">
        <v>17496.310000000001</v>
      </c>
      <c r="H911" t="str" cm="1">
        <f t="array" ref="H911">_xlfn.IFS(A911&lt;13, "Child", A911&lt;20, "Teenager", A911&lt;40, "Young Adult", A911&lt;60, "Senior Adult", A911&gt;=60, "Elderly")</f>
        <v>Young Adult</v>
      </c>
    </row>
    <row r="912" spans="1:8" x14ac:dyDescent="0.25">
      <c r="A912" s="1">
        <v>22</v>
      </c>
      <c r="B912" t="s">
        <v>8</v>
      </c>
      <c r="C912" s="2">
        <v>28.3</v>
      </c>
      <c r="D912" s="1">
        <v>1</v>
      </c>
      <c r="E912" t="s">
        <v>10</v>
      </c>
      <c r="F912" t="s">
        <v>13</v>
      </c>
      <c r="G912" s="3">
        <v>2639.04</v>
      </c>
      <c r="H912" t="str" cm="1">
        <f t="array" ref="H912">_xlfn.IFS(A912&lt;13, "Child", A912&lt;20, "Teenager", A912&lt;40, "Young Adult", A912&lt;60, "Senior Adult", A912&gt;=60, "Elderly")</f>
        <v>Young Adult</v>
      </c>
    </row>
    <row r="913" spans="1:8" x14ac:dyDescent="0.25">
      <c r="A913" s="1">
        <v>18</v>
      </c>
      <c r="B913" t="s">
        <v>8</v>
      </c>
      <c r="C913" s="2">
        <v>31.7</v>
      </c>
      <c r="D913" s="1">
        <v>0</v>
      </c>
      <c r="E913" t="s">
        <v>9</v>
      </c>
      <c r="F913" t="s">
        <v>14</v>
      </c>
      <c r="G913" s="3">
        <v>33732.69</v>
      </c>
      <c r="H913" t="str" cm="1">
        <f t="array" ref="H913">_xlfn.IFS(A913&lt;13, "Child", A913&lt;20, "Teenager", A913&lt;40, "Young Adult", A913&lt;60, "Senior Adult", A913&gt;=60, "Elderly")</f>
        <v>Teenager</v>
      </c>
    </row>
    <row r="914" spans="1:8" x14ac:dyDescent="0.25">
      <c r="A914" s="1">
        <v>59</v>
      </c>
      <c r="B914" t="s">
        <v>7</v>
      </c>
      <c r="C914" s="2">
        <v>26.7</v>
      </c>
      <c r="D914" s="1">
        <v>3</v>
      </c>
      <c r="E914" t="s">
        <v>10</v>
      </c>
      <c r="F914" t="s">
        <v>13</v>
      </c>
      <c r="G914" s="3">
        <v>14382.71</v>
      </c>
      <c r="H914" t="str" cm="1">
        <f t="array" ref="H914">_xlfn.IFS(A914&lt;13, "Child", A914&lt;20, "Teenager", A914&lt;40, "Young Adult", A914&lt;60, "Senior Adult", A914&gt;=60, "Elderly")</f>
        <v>Senior Adult</v>
      </c>
    </row>
    <row r="915" spans="1:8" x14ac:dyDescent="0.25">
      <c r="A915" s="1">
        <v>44</v>
      </c>
      <c r="B915" t="s">
        <v>7</v>
      </c>
      <c r="C915" s="2">
        <v>27.5</v>
      </c>
      <c r="D915" s="1">
        <v>1</v>
      </c>
      <c r="E915" t="s">
        <v>10</v>
      </c>
      <c r="F915" t="s">
        <v>11</v>
      </c>
      <c r="G915" s="3">
        <v>7626.99</v>
      </c>
      <c r="H915" t="str" cm="1">
        <f t="array" ref="H915">_xlfn.IFS(A915&lt;13, "Child", A915&lt;20, "Teenager", A915&lt;40, "Young Adult", A915&lt;60, "Senior Adult", A915&gt;=60, "Elderly")</f>
        <v>Senior Adult</v>
      </c>
    </row>
    <row r="916" spans="1:8" x14ac:dyDescent="0.25">
      <c r="A916" s="1">
        <v>33</v>
      </c>
      <c r="B916" t="s">
        <v>8</v>
      </c>
      <c r="C916" s="2">
        <v>24.6</v>
      </c>
      <c r="D916" s="1">
        <v>2</v>
      </c>
      <c r="E916" t="s">
        <v>10</v>
      </c>
      <c r="F916" t="s">
        <v>13</v>
      </c>
      <c r="G916" s="3">
        <v>5257.51</v>
      </c>
      <c r="H916" t="str" cm="1">
        <f t="array" ref="H916">_xlfn.IFS(A916&lt;13, "Child", A916&lt;20, "Teenager", A916&lt;40, "Young Adult", A916&lt;60, "Senior Adult", A916&gt;=60, "Elderly")</f>
        <v>Young Adult</v>
      </c>
    </row>
    <row r="917" spans="1:8" x14ac:dyDescent="0.25">
      <c r="A917" s="1">
        <v>24</v>
      </c>
      <c r="B917" t="s">
        <v>7</v>
      </c>
      <c r="C917" s="2">
        <v>34</v>
      </c>
      <c r="D917" s="1">
        <v>0</v>
      </c>
      <c r="E917" t="s">
        <v>10</v>
      </c>
      <c r="F917" t="s">
        <v>12</v>
      </c>
      <c r="G917" s="3">
        <v>2473.33</v>
      </c>
      <c r="H917" t="str" cm="1">
        <f t="array" ref="H917">_xlfn.IFS(A917&lt;13, "Child", A917&lt;20, "Teenager", A917&lt;40, "Young Adult", A917&lt;60, "Senior Adult", A917&gt;=60, "Elderly")</f>
        <v>Young Adult</v>
      </c>
    </row>
    <row r="918" spans="1:8" x14ac:dyDescent="0.25">
      <c r="A918" s="1">
        <v>43</v>
      </c>
      <c r="B918" t="s">
        <v>7</v>
      </c>
      <c r="C918" s="2">
        <v>26.9</v>
      </c>
      <c r="D918" s="1">
        <v>0</v>
      </c>
      <c r="E918" t="s">
        <v>9</v>
      </c>
      <c r="F918" t="s">
        <v>13</v>
      </c>
      <c r="G918" s="3">
        <v>21774.32</v>
      </c>
      <c r="H918" t="str" cm="1">
        <f t="array" ref="H918">_xlfn.IFS(A918&lt;13, "Child", A918&lt;20, "Teenager", A918&lt;40, "Young Adult", A918&lt;60, "Senior Adult", A918&gt;=60, "Elderly")</f>
        <v>Senior Adult</v>
      </c>
    </row>
    <row r="919" spans="1:8" x14ac:dyDescent="0.25">
      <c r="A919" s="1">
        <v>45</v>
      </c>
      <c r="B919" t="s">
        <v>8</v>
      </c>
      <c r="C919" s="2">
        <v>22.9</v>
      </c>
      <c r="D919" s="1">
        <v>0</v>
      </c>
      <c r="E919" t="s">
        <v>9</v>
      </c>
      <c r="F919" t="s">
        <v>14</v>
      </c>
      <c r="G919" s="3">
        <v>35069.370000000003</v>
      </c>
      <c r="H919" t="str" cm="1">
        <f t="array" ref="H919">_xlfn.IFS(A919&lt;13, "Child", A919&lt;20, "Teenager", A919&lt;40, "Young Adult", A919&lt;60, "Senior Adult", A919&gt;=60, "Elderly")</f>
        <v>Senior Adult</v>
      </c>
    </row>
    <row r="920" spans="1:8" x14ac:dyDescent="0.25">
      <c r="A920" s="1">
        <v>61</v>
      </c>
      <c r="B920" t="s">
        <v>7</v>
      </c>
      <c r="C920" s="2">
        <v>28.2</v>
      </c>
      <c r="D920" s="1">
        <v>0</v>
      </c>
      <c r="E920" t="s">
        <v>10</v>
      </c>
      <c r="F920" t="s">
        <v>11</v>
      </c>
      <c r="G920" s="3">
        <v>13041.92</v>
      </c>
      <c r="H920" t="str" cm="1">
        <f t="array" ref="H920">_xlfn.IFS(A920&lt;13, "Child", A920&lt;20, "Teenager", A920&lt;40, "Young Adult", A920&lt;60, "Senior Adult", A920&gt;=60, "Elderly")</f>
        <v>Elderly</v>
      </c>
    </row>
    <row r="921" spans="1:8" x14ac:dyDescent="0.25">
      <c r="A921" s="1">
        <v>35</v>
      </c>
      <c r="B921" t="s">
        <v>7</v>
      </c>
      <c r="C921" s="2">
        <v>34.200000000000003</v>
      </c>
      <c r="D921" s="1">
        <v>1</v>
      </c>
      <c r="E921" t="s">
        <v>10</v>
      </c>
      <c r="F921" t="s">
        <v>12</v>
      </c>
      <c r="G921" s="3">
        <v>5245.23</v>
      </c>
      <c r="H921" t="str" cm="1">
        <f t="array" ref="H921">_xlfn.IFS(A921&lt;13, "Child", A921&lt;20, "Teenager", A921&lt;40, "Young Adult", A921&lt;60, "Senior Adult", A921&gt;=60, "Elderly")</f>
        <v>Young Adult</v>
      </c>
    </row>
    <row r="922" spans="1:8" x14ac:dyDescent="0.25">
      <c r="A922" s="1">
        <v>62</v>
      </c>
      <c r="B922" t="s">
        <v>7</v>
      </c>
      <c r="C922" s="2">
        <v>25</v>
      </c>
      <c r="D922" s="1">
        <v>0</v>
      </c>
      <c r="E922" t="s">
        <v>10</v>
      </c>
      <c r="F922" t="s">
        <v>11</v>
      </c>
      <c r="G922" s="3">
        <v>13451.12</v>
      </c>
      <c r="H922" t="str" cm="1">
        <f t="array" ref="H922">_xlfn.IFS(A922&lt;13, "Child", A922&lt;20, "Teenager", A922&lt;40, "Young Adult", A922&lt;60, "Senior Adult", A922&gt;=60, "Elderly")</f>
        <v>Elderly</v>
      </c>
    </row>
    <row r="923" spans="1:8" x14ac:dyDescent="0.25">
      <c r="A923" s="1">
        <v>62</v>
      </c>
      <c r="B923" t="s">
        <v>7</v>
      </c>
      <c r="C923" s="2">
        <v>33.200000000000003</v>
      </c>
      <c r="D923" s="1">
        <v>0</v>
      </c>
      <c r="E923" t="s">
        <v>10</v>
      </c>
      <c r="F923" t="s">
        <v>11</v>
      </c>
      <c r="G923" s="3">
        <v>13462.52</v>
      </c>
      <c r="H923" t="str" cm="1">
        <f t="array" ref="H923">_xlfn.IFS(A923&lt;13, "Child", A923&lt;20, "Teenager", A923&lt;40, "Young Adult", A923&lt;60, "Senior Adult", A923&gt;=60, "Elderly")</f>
        <v>Elderly</v>
      </c>
    </row>
    <row r="924" spans="1:8" x14ac:dyDescent="0.25">
      <c r="A924" s="1">
        <v>38</v>
      </c>
      <c r="B924" t="s">
        <v>8</v>
      </c>
      <c r="C924" s="2">
        <v>31</v>
      </c>
      <c r="D924" s="1">
        <v>1</v>
      </c>
      <c r="E924" t="s">
        <v>10</v>
      </c>
      <c r="F924" t="s">
        <v>11</v>
      </c>
      <c r="G924" s="3">
        <v>5488.26</v>
      </c>
      <c r="H924" t="str" cm="1">
        <f t="array" ref="H924">_xlfn.IFS(A924&lt;13, "Child", A924&lt;20, "Teenager", A924&lt;40, "Young Adult", A924&lt;60, "Senior Adult", A924&gt;=60, "Elderly")</f>
        <v>Young Adult</v>
      </c>
    </row>
    <row r="925" spans="1:8" x14ac:dyDescent="0.25">
      <c r="A925" s="1">
        <v>34</v>
      </c>
      <c r="B925" t="s">
        <v>8</v>
      </c>
      <c r="C925" s="2">
        <v>35.799999999999997</v>
      </c>
      <c r="D925" s="1">
        <v>0</v>
      </c>
      <c r="E925" t="s">
        <v>10</v>
      </c>
      <c r="F925" t="s">
        <v>13</v>
      </c>
      <c r="G925" s="3">
        <v>4320.41</v>
      </c>
      <c r="H925" t="str" cm="1">
        <f t="array" ref="H925">_xlfn.IFS(A925&lt;13, "Child", A925&lt;20, "Teenager", A925&lt;40, "Young Adult", A925&lt;60, "Senior Adult", A925&gt;=60, "Elderly")</f>
        <v>Young Adult</v>
      </c>
    </row>
    <row r="926" spans="1:8" x14ac:dyDescent="0.25">
      <c r="A926" s="1">
        <v>43</v>
      </c>
      <c r="B926" t="s">
        <v>8</v>
      </c>
      <c r="C926" s="2">
        <v>23.2</v>
      </c>
      <c r="D926" s="1">
        <v>0</v>
      </c>
      <c r="E926" t="s">
        <v>10</v>
      </c>
      <c r="F926" t="s">
        <v>11</v>
      </c>
      <c r="G926" s="3">
        <v>6250.44</v>
      </c>
      <c r="H926" t="str" cm="1">
        <f t="array" ref="H926">_xlfn.IFS(A926&lt;13, "Child", A926&lt;20, "Teenager", A926&lt;40, "Young Adult", A926&lt;60, "Senior Adult", A926&gt;=60, "Elderly")</f>
        <v>Senior Adult</v>
      </c>
    </row>
    <row r="927" spans="1:8" x14ac:dyDescent="0.25">
      <c r="A927" s="1">
        <v>50</v>
      </c>
      <c r="B927" t="s">
        <v>8</v>
      </c>
      <c r="C927" s="2">
        <v>32.1</v>
      </c>
      <c r="D927" s="1">
        <v>2</v>
      </c>
      <c r="E927" t="s">
        <v>10</v>
      </c>
      <c r="F927" t="s">
        <v>14</v>
      </c>
      <c r="G927" s="3">
        <v>25333.33</v>
      </c>
      <c r="H927" t="str" cm="1">
        <f t="array" ref="H927">_xlfn.IFS(A927&lt;13, "Child", A927&lt;20, "Teenager", A927&lt;40, "Young Adult", A927&lt;60, "Senior Adult", A927&gt;=60, "Elderly")</f>
        <v>Senior Adult</v>
      </c>
    </row>
    <row r="928" spans="1:8" x14ac:dyDescent="0.25">
      <c r="A928" s="1">
        <v>19</v>
      </c>
      <c r="B928" t="s">
        <v>7</v>
      </c>
      <c r="C928" s="2">
        <v>23.4</v>
      </c>
      <c r="D928" s="1">
        <v>2</v>
      </c>
      <c r="E928" t="s">
        <v>10</v>
      </c>
      <c r="F928" t="s">
        <v>11</v>
      </c>
      <c r="G928" s="3">
        <v>2913.57</v>
      </c>
      <c r="H928" t="str" cm="1">
        <f t="array" ref="H928">_xlfn.IFS(A928&lt;13, "Child", A928&lt;20, "Teenager", A928&lt;40, "Young Adult", A928&lt;60, "Senior Adult", A928&gt;=60, "Elderly")</f>
        <v>Teenager</v>
      </c>
    </row>
    <row r="929" spans="1:8" x14ac:dyDescent="0.25">
      <c r="A929" s="1">
        <v>57</v>
      </c>
      <c r="B929" t="s">
        <v>7</v>
      </c>
      <c r="C929" s="2">
        <v>20.100000000000001</v>
      </c>
      <c r="D929" s="1">
        <v>1</v>
      </c>
      <c r="E929" t="s">
        <v>10</v>
      </c>
      <c r="F929" t="s">
        <v>11</v>
      </c>
      <c r="G929" s="3">
        <v>12032.33</v>
      </c>
      <c r="H929" t="str" cm="1">
        <f t="array" ref="H929">_xlfn.IFS(A929&lt;13, "Child", A929&lt;20, "Teenager", A929&lt;40, "Young Adult", A929&lt;60, "Senior Adult", A929&gt;=60, "Elderly")</f>
        <v>Senior Adult</v>
      </c>
    </row>
    <row r="930" spans="1:8" x14ac:dyDescent="0.25">
      <c r="A930" s="1">
        <v>62</v>
      </c>
      <c r="B930" t="s">
        <v>7</v>
      </c>
      <c r="C930" s="2">
        <v>39.200000000000003</v>
      </c>
      <c r="D930" s="1">
        <v>0</v>
      </c>
      <c r="E930" t="s">
        <v>10</v>
      </c>
      <c r="F930" t="s">
        <v>12</v>
      </c>
      <c r="G930" s="3">
        <v>13470.8</v>
      </c>
      <c r="H930" t="str" cm="1">
        <f t="array" ref="H930">_xlfn.IFS(A930&lt;13, "Child", A930&lt;20, "Teenager", A930&lt;40, "Young Adult", A930&lt;60, "Senior Adult", A930&gt;=60, "Elderly")</f>
        <v>Elderly</v>
      </c>
    </row>
    <row r="931" spans="1:8" x14ac:dyDescent="0.25">
      <c r="A931" s="1">
        <v>41</v>
      </c>
      <c r="B931" t="s">
        <v>8</v>
      </c>
      <c r="C931" s="2">
        <v>34.200000000000003</v>
      </c>
      <c r="D931" s="1">
        <v>1</v>
      </c>
      <c r="E931" t="s">
        <v>10</v>
      </c>
      <c r="F931" t="s">
        <v>12</v>
      </c>
      <c r="G931" s="3">
        <v>6289.75</v>
      </c>
      <c r="H931" t="str" cm="1">
        <f t="array" ref="H931">_xlfn.IFS(A931&lt;13, "Child", A931&lt;20, "Teenager", A931&lt;40, "Young Adult", A931&lt;60, "Senior Adult", A931&gt;=60, "Elderly")</f>
        <v>Senior Adult</v>
      </c>
    </row>
    <row r="932" spans="1:8" x14ac:dyDescent="0.25">
      <c r="A932" s="1">
        <v>26</v>
      </c>
      <c r="B932" t="s">
        <v>8</v>
      </c>
      <c r="C932" s="2">
        <v>46.5</v>
      </c>
      <c r="D932" s="1">
        <v>1</v>
      </c>
      <c r="E932" t="s">
        <v>10</v>
      </c>
      <c r="F932" t="s">
        <v>12</v>
      </c>
      <c r="G932" s="3">
        <v>2927.06</v>
      </c>
      <c r="H932" t="str" cm="1">
        <f t="array" ref="H932">_xlfn.IFS(A932&lt;13, "Child", A932&lt;20, "Teenager", A932&lt;40, "Young Adult", A932&lt;60, "Senior Adult", A932&gt;=60, "Elderly")</f>
        <v>Young Adult</v>
      </c>
    </row>
    <row r="933" spans="1:8" x14ac:dyDescent="0.25">
      <c r="A933" s="1">
        <v>39</v>
      </c>
      <c r="B933" t="s">
        <v>7</v>
      </c>
      <c r="C933" s="2">
        <v>32.5</v>
      </c>
      <c r="D933" s="1">
        <v>1</v>
      </c>
      <c r="E933" t="s">
        <v>10</v>
      </c>
      <c r="F933" t="s">
        <v>11</v>
      </c>
      <c r="G933" s="3">
        <v>6238.3</v>
      </c>
      <c r="H933" t="str" cm="1">
        <f t="array" ref="H933">_xlfn.IFS(A933&lt;13, "Child", A933&lt;20, "Teenager", A933&lt;40, "Young Adult", A933&lt;60, "Senior Adult", A933&gt;=60, "Elderly")</f>
        <v>Young Adult</v>
      </c>
    </row>
    <row r="934" spans="1:8" x14ac:dyDescent="0.25">
      <c r="A934" s="1">
        <v>46</v>
      </c>
      <c r="B934" t="s">
        <v>8</v>
      </c>
      <c r="C934" s="2">
        <v>25.8</v>
      </c>
      <c r="D934" s="1">
        <v>5</v>
      </c>
      <c r="E934" t="s">
        <v>10</v>
      </c>
      <c r="F934" t="s">
        <v>11</v>
      </c>
      <c r="G934" s="3">
        <v>10096.969999999999</v>
      </c>
      <c r="H934" t="str" cm="1">
        <f t="array" ref="H934">_xlfn.IFS(A934&lt;13, "Child", A934&lt;20, "Teenager", A934&lt;40, "Young Adult", A934&lt;60, "Senior Adult", A934&gt;=60, "Elderly")</f>
        <v>Senior Adult</v>
      </c>
    </row>
    <row r="935" spans="1:8" x14ac:dyDescent="0.25">
      <c r="A935" s="1">
        <v>45</v>
      </c>
      <c r="B935" t="s">
        <v>7</v>
      </c>
      <c r="C935" s="2">
        <v>35.299999999999997</v>
      </c>
      <c r="D935" s="1">
        <v>0</v>
      </c>
      <c r="E935" t="s">
        <v>10</v>
      </c>
      <c r="F935" t="s">
        <v>11</v>
      </c>
      <c r="G935" s="3">
        <v>7348.14</v>
      </c>
      <c r="H935" t="str" cm="1">
        <f t="array" ref="H935">_xlfn.IFS(A935&lt;13, "Child", A935&lt;20, "Teenager", A935&lt;40, "Young Adult", A935&lt;60, "Senior Adult", A935&gt;=60, "Elderly")</f>
        <v>Senior Adult</v>
      </c>
    </row>
    <row r="936" spans="1:8" x14ac:dyDescent="0.25">
      <c r="A936" s="1">
        <v>32</v>
      </c>
      <c r="B936" t="s">
        <v>8</v>
      </c>
      <c r="C936" s="2">
        <v>37.200000000000003</v>
      </c>
      <c r="D936" s="1">
        <v>2</v>
      </c>
      <c r="E936" t="s">
        <v>10</v>
      </c>
      <c r="F936" t="s">
        <v>12</v>
      </c>
      <c r="G936" s="3">
        <v>4673.3900000000003</v>
      </c>
      <c r="H936" t="str" cm="1">
        <f t="array" ref="H936">_xlfn.IFS(A936&lt;13, "Child", A936&lt;20, "Teenager", A936&lt;40, "Young Adult", A936&lt;60, "Senior Adult", A936&gt;=60, "Elderly")</f>
        <v>Young Adult</v>
      </c>
    </row>
    <row r="937" spans="1:8" x14ac:dyDescent="0.25">
      <c r="A937" s="1">
        <v>59</v>
      </c>
      <c r="B937" t="s">
        <v>7</v>
      </c>
      <c r="C937" s="2">
        <v>27.5</v>
      </c>
      <c r="D937" s="1">
        <v>0</v>
      </c>
      <c r="E937" t="s">
        <v>10</v>
      </c>
      <c r="F937" t="s">
        <v>11</v>
      </c>
      <c r="G937" s="3">
        <v>12233.83</v>
      </c>
      <c r="H937" t="str" cm="1">
        <f t="array" ref="H937">_xlfn.IFS(A937&lt;13, "Child", A937&lt;20, "Teenager", A937&lt;40, "Young Adult", A937&lt;60, "Senior Adult", A937&gt;=60, "Elderly")</f>
        <v>Senior Adult</v>
      </c>
    </row>
    <row r="938" spans="1:8" x14ac:dyDescent="0.25">
      <c r="A938" s="1">
        <v>44</v>
      </c>
      <c r="B938" t="s">
        <v>8</v>
      </c>
      <c r="C938" s="2">
        <v>29.7</v>
      </c>
      <c r="D938" s="1">
        <v>2</v>
      </c>
      <c r="E938" t="s">
        <v>10</v>
      </c>
      <c r="F938" t="s">
        <v>14</v>
      </c>
      <c r="G938" s="3">
        <v>32108.66</v>
      </c>
      <c r="H938" t="str" cm="1">
        <f t="array" ref="H938">_xlfn.IFS(A938&lt;13, "Child", A938&lt;20, "Teenager", A938&lt;40, "Young Adult", A938&lt;60, "Senior Adult", A938&gt;=60, "Elderly")</f>
        <v>Senior Adult</v>
      </c>
    </row>
    <row r="939" spans="1:8" x14ac:dyDescent="0.25">
      <c r="A939" s="1">
        <v>39</v>
      </c>
      <c r="B939" t="s">
        <v>7</v>
      </c>
      <c r="C939" s="2">
        <v>24.2</v>
      </c>
      <c r="D939" s="1">
        <v>5</v>
      </c>
      <c r="E939" t="s">
        <v>10</v>
      </c>
      <c r="F939" t="s">
        <v>13</v>
      </c>
      <c r="G939" s="3">
        <v>8965.7999999999993</v>
      </c>
      <c r="H939" t="str" cm="1">
        <f t="array" ref="H939">_xlfn.IFS(A939&lt;13, "Child", A939&lt;20, "Teenager", A939&lt;40, "Young Adult", A939&lt;60, "Senior Adult", A939&gt;=60, "Elderly")</f>
        <v>Young Adult</v>
      </c>
    </row>
    <row r="940" spans="1:8" x14ac:dyDescent="0.25">
      <c r="A940" s="1">
        <v>18</v>
      </c>
      <c r="B940" t="s">
        <v>8</v>
      </c>
      <c r="C940" s="2">
        <v>26.2</v>
      </c>
      <c r="D940" s="1">
        <v>2</v>
      </c>
      <c r="E940" t="s">
        <v>10</v>
      </c>
      <c r="F940" t="s">
        <v>12</v>
      </c>
      <c r="G940" s="3">
        <v>2304</v>
      </c>
      <c r="H940" t="str" cm="1">
        <f t="array" ref="H940">_xlfn.IFS(A940&lt;13, "Child", A940&lt;20, "Teenager", A940&lt;40, "Young Adult", A940&lt;60, "Senior Adult", A940&gt;=60, "Elderly")</f>
        <v>Teenager</v>
      </c>
    </row>
    <row r="941" spans="1:8" x14ac:dyDescent="0.25">
      <c r="A941" s="1">
        <v>53</v>
      </c>
      <c r="B941" t="s">
        <v>8</v>
      </c>
      <c r="C941" s="2">
        <v>29.5</v>
      </c>
      <c r="D941" s="1">
        <v>0</v>
      </c>
      <c r="E941" t="s">
        <v>10</v>
      </c>
      <c r="F941" t="s">
        <v>12</v>
      </c>
      <c r="G941" s="3">
        <v>9487.64</v>
      </c>
      <c r="H941" t="str" cm="1">
        <f t="array" ref="H941">_xlfn.IFS(A941&lt;13, "Child", A941&lt;20, "Teenager", A941&lt;40, "Young Adult", A941&lt;60, "Senior Adult", A941&gt;=60, "Elderly")</f>
        <v>Senior Adult</v>
      </c>
    </row>
    <row r="942" spans="1:8" x14ac:dyDescent="0.25">
      <c r="A942" s="1">
        <v>18</v>
      </c>
      <c r="B942" t="s">
        <v>8</v>
      </c>
      <c r="C942" s="2">
        <v>23.2</v>
      </c>
      <c r="D942" s="1">
        <v>0</v>
      </c>
      <c r="E942" t="s">
        <v>10</v>
      </c>
      <c r="F942" t="s">
        <v>12</v>
      </c>
      <c r="G942" s="3">
        <v>1121.8699999999999</v>
      </c>
      <c r="H942" t="str" cm="1">
        <f t="array" ref="H942">_xlfn.IFS(A942&lt;13, "Child", A942&lt;20, "Teenager", A942&lt;40, "Young Adult", A942&lt;60, "Senior Adult", A942&gt;=60, "Elderly")</f>
        <v>Teenager</v>
      </c>
    </row>
    <row r="943" spans="1:8" x14ac:dyDescent="0.25">
      <c r="A943" s="1">
        <v>50</v>
      </c>
      <c r="B943" t="s">
        <v>7</v>
      </c>
      <c r="C943" s="2">
        <v>46.1</v>
      </c>
      <c r="D943" s="1">
        <v>1</v>
      </c>
      <c r="E943" t="s">
        <v>10</v>
      </c>
      <c r="F943" t="s">
        <v>12</v>
      </c>
      <c r="G943" s="3">
        <v>9549.57</v>
      </c>
      <c r="H943" t="str" cm="1">
        <f t="array" ref="H943">_xlfn.IFS(A943&lt;13, "Child", A943&lt;20, "Teenager", A943&lt;40, "Young Adult", A943&lt;60, "Senior Adult", A943&gt;=60, "Elderly")</f>
        <v>Senior Adult</v>
      </c>
    </row>
    <row r="944" spans="1:8" x14ac:dyDescent="0.25">
      <c r="A944" s="1">
        <v>18</v>
      </c>
      <c r="B944" t="s">
        <v>7</v>
      </c>
      <c r="C944" s="2">
        <v>40.200000000000003</v>
      </c>
      <c r="D944" s="1">
        <v>0</v>
      </c>
      <c r="E944" t="s">
        <v>10</v>
      </c>
      <c r="F944" t="s">
        <v>14</v>
      </c>
      <c r="G944" s="3">
        <v>2217.4699999999998</v>
      </c>
      <c r="H944" t="str" cm="1">
        <f t="array" ref="H944">_xlfn.IFS(A944&lt;13, "Child", A944&lt;20, "Teenager", A944&lt;40, "Young Adult", A944&lt;60, "Senior Adult", A944&gt;=60, "Elderly")</f>
        <v>Teenager</v>
      </c>
    </row>
    <row r="945" spans="1:8" x14ac:dyDescent="0.25">
      <c r="A945" s="1">
        <v>19</v>
      </c>
      <c r="B945" t="s">
        <v>8</v>
      </c>
      <c r="C945" s="2">
        <v>22.6</v>
      </c>
      <c r="D945" s="1">
        <v>0</v>
      </c>
      <c r="E945" t="s">
        <v>10</v>
      </c>
      <c r="F945" t="s">
        <v>13</v>
      </c>
      <c r="G945" s="3">
        <v>1628.47</v>
      </c>
      <c r="H945" t="str" cm="1">
        <f t="array" ref="H945">_xlfn.IFS(A945&lt;13, "Child", A945&lt;20, "Teenager", A945&lt;40, "Young Adult", A945&lt;60, "Senior Adult", A945&gt;=60, "Elderly")</f>
        <v>Teenager</v>
      </c>
    </row>
    <row r="946" spans="1:8" x14ac:dyDescent="0.25">
      <c r="A946" s="1">
        <v>62</v>
      </c>
      <c r="B946" t="s">
        <v>8</v>
      </c>
      <c r="C946" s="2">
        <v>39.9</v>
      </c>
      <c r="D946" s="1">
        <v>0</v>
      </c>
      <c r="E946" t="s">
        <v>10</v>
      </c>
      <c r="F946" t="s">
        <v>12</v>
      </c>
      <c r="G946" s="3">
        <v>12982.87</v>
      </c>
      <c r="H946" t="str" cm="1">
        <f t="array" ref="H946">_xlfn.IFS(A946&lt;13, "Child", A946&lt;20, "Teenager", A946&lt;40, "Young Adult", A946&lt;60, "Senior Adult", A946&gt;=60, "Elderly")</f>
        <v>Elderly</v>
      </c>
    </row>
    <row r="947" spans="1:8" x14ac:dyDescent="0.25">
      <c r="A947" s="1">
        <v>56</v>
      </c>
      <c r="B947" t="s">
        <v>7</v>
      </c>
      <c r="C947" s="2">
        <v>35.799999999999997</v>
      </c>
      <c r="D947" s="1">
        <v>1</v>
      </c>
      <c r="E947" t="s">
        <v>10</v>
      </c>
      <c r="F947" t="s">
        <v>11</v>
      </c>
      <c r="G947" s="3">
        <v>11674.13</v>
      </c>
      <c r="H947" t="str" cm="1">
        <f t="array" ref="H947">_xlfn.IFS(A947&lt;13, "Child", A947&lt;20, "Teenager", A947&lt;40, "Young Adult", A947&lt;60, "Senior Adult", A947&gt;=60, "Elderly")</f>
        <v>Senior Adult</v>
      </c>
    </row>
    <row r="948" spans="1:8" x14ac:dyDescent="0.25">
      <c r="A948" s="1">
        <v>42</v>
      </c>
      <c r="B948" t="s">
        <v>8</v>
      </c>
      <c r="C948" s="2">
        <v>35.799999999999997</v>
      </c>
      <c r="D948" s="1">
        <v>2</v>
      </c>
      <c r="E948" t="s">
        <v>10</v>
      </c>
      <c r="F948" t="s">
        <v>11</v>
      </c>
      <c r="G948" s="3">
        <v>7160.09</v>
      </c>
      <c r="H948" t="str" cm="1">
        <f t="array" ref="H948">_xlfn.IFS(A948&lt;13, "Child", A948&lt;20, "Teenager", A948&lt;40, "Young Adult", A948&lt;60, "Senior Adult", A948&gt;=60, "Elderly")</f>
        <v>Senior Adult</v>
      </c>
    </row>
    <row r="949" spans="1:8" x14ac:dyDescent="0.25">
      <c r="A949" s="1">
        <v>37</v>
      </c>
      <c r="B949" t="s">
        <v>8</v>
      </c>
      <c r="C949" s="2">
        <v>34.200000000000003</v>
      </c>
      <c r="D949" s="1">
        <v>1</v>
      </c>
      <c r="E949" t="s">
        <v>9</v>
      </c>
      <c r="F949" t="s">
        <v>14</v>
      </c>
      <c r="G949" s="3">
        <v>39047.29</v>
      </c>
      <c r="H949" t="str" cm="1">
        <f t="array" ref="H949">_xlfn.IFS(A949&lt;13, "Child", A949&lt;20, "Teenager", A949&lt;40, "Young Adult", A949&lt;60, "Senior Adult", A949&gt;=60, "Elderly")</f>
        <v>Young Adult</v>
      </c>
    </row>
    <row r="950" spans="1:8" x14ac:dyDescent="0.25">
      <c r="A950" s="1">
        <v>42</v>
      </c>
      <c r="B950" t="s">
        <v>8</v>
      </c>
      <c r="C950" s="2">
        <v>31.3</v>
      </c>
      <c r="D950" s="1">
        <v>0</v>
      </c>
      <c r="E950" t="s">
        <v>10</v>
      </c>
      <c r="F950" t="s">
        <v>13</v>
      </c>
      <c r="G950" s="3">
        <v>6358.78</v>
      </c>
      <c r="H950" t="str" cm="1">
        <f t="array" ref="H950">_xlfn.IFS(A950&lt;13, "Child", A950&lt;20, "Teenager", A950&lt;40, "Young Adult", A950&lt;60, "Senior Adult", A950&gt;=60, "Elderly")</f>
        <v>Senior Adult</v>
      </c>
    </row>
    <row r="951" spans="1:8" x14ac:dyDescent="0.25">
      <c r="A951" s="1">
        <v>25</v>
      </c>
      <c r="B951" t="s">
        <v>8</v>
      </c>
      <c r="C951" s="2">
        <v>29.7</v>
      </c>
      <c r="D951" s="1">
        <v>3</v>
      </c>
      <c r="E951" t="s">
        <v>9</v>
      </c>
      <c r="F951" t="s">
        <v>11</v>
      </c>
      <c r="G951" s="3">
        <v>19933.46</v>
      </c>
      <c r="H951" t="str" cm="1">
        <f t="array" ref="H951">_xlfn.IFS(A951&lt;13, "Child", A951&lt;20, "Teenager", A951&lt;40, "Young Adult", A951&lt;60, "Senior Adult", A951&gt;=60, "Elderly")</f>
        <v>Young Adult</v>
      </c>
    </row>
    <row r="952" spans="1:8" x14ac:dyDescent="0.25">
      <c r="A952" s="1">
        <v>57</v>
      </c>
      <c r="B952" t="s">
        <v>8</v>
      </c>
      <c r="C952" s="2">
        <v>18.3</v>
      </c>
      <c r="D952" s="1">
        <v>0</v>
      </c>
      <c r="E952" t="s">
        <v>10</v>
      </c>
      <c r="F952" t="s">
        <v>14</v>
      </c>
      <c r="G952" s="3">
        <v>11534.87</v>
      </c>
      <c r="H952" t="str" cm="1">
        <f t="array" ref="H952">_xlfn.IFS(A952&lt;13, "Child", A952&lt;20, "Teenager", A952&lt;40, "Young Adult", A952&lt;60, "Senior Adult", A952&gt;=60, "Elderly")</f>
        <v>Senior Adult</v>
      </c>
    </row>
    <row r="953" spans="1:8" x14ac:dyDescent="0.25">
      <c r="A953" s="1">
        <v>51</v>
      </c>
      <c r="B953" t="s">
        <v>8</v>
      </c>
      <c r="C953" s="2">
        <v>42.9</v>
      </c>
      <c r="D953" s="1">
        <v>2</v>
      </c>
      <c r="E953" t="s">
        <v>9</v>
      </c>
      <c r="F953" t="s">
        <v>12</v>
      </c>
      <c r="G953" s="3">
        <v>47462.89</v>
      </c>
      <c r="H953" t="str" cm="1">
        <f t="array" ref="H953">_xlfn.IFS(A953&lt;13, "Child", A953&lt;20, "Teenager", A953&lt;40, "Young Adult", A953&lt;60, "Senior Adult", A953&gt;=60, "Elderly")</f>
        <v>Senior Adult</v>
      </c>
    </row>
    <row r="954" spans="1:8" x14ac:dyDescent="0.25">
      <c r="A954" s="1">
        <v>30</v>
      </c>
      <c r="B954" t="s">
        <v>7</v>
      </c>
      <c r="C954" s="2">
        <v>28.4</v>
      </c>
      <c r="D954" s="1">
        <v>1</v>
      </c>
      <c r="E954" t="s">
        <v>10</v>
      </c>
      <c r="F954" t="s">
        <v>13</v>
      </c>
      <c r="G954" s="3">
        <v>4527.18</v>
      </c>
      <c r="H954" t="str" cm="1">
        <f t="array" ref="H954">_xlfn.IFS(A954&lt;13, "Child", A954&lt;20, "Teenager", A954&lt;40, "Young Adult", A954&lt;60, "Senior Adult", A954&gt;=60, "Elderly")</f>
        <v>Young Adult</v>
      </c>
    </row>
    <row r="955" spans="1:8" x14ac:dyDescent="0.25">
      <c r="A955" s="1">
        <v>44</v>
      </c>
      <c r="B955" t="s">
        <v>8</v>
      </c>
      <c r="C955" s="2">
        <v>30.2</v>
      </c>
      <c r="D955" s="1">
        <v>2</v>
      </c>
      <c r="E955" t="s">
        <v>9</v>
      </c>
      <c r="F955" t="s">
        <v>11</v>
      </c>
      <c r="G955" s="3">
        <v>38998.550000000003</v>
      </c>
      <c r="H955" t="str" cm="1">
        <f t="array" ref="H955">_xlfn.IFS(A955&lt;13, "Child", A955&lt;20, "Teenager", A955&lt;40, "Young Adult", A955&lt;60, "Senior Adult", A955&gt;=60, "Elderly")</f>
        <v>Senior Adult</v>
      </c>
    </row>
    <row r="956" spans="1:8" x14ac:dyDescent="0.25">
      <c r="A956" s="1">
        <v>34</v>
      </c>
      <c r="B956" t="s">
        <v>8</v>
      </c>
      <c r="C956" s="2">
        <v>27.8</v>
      </c>
      <c r="D956" s="1">
        <v>1</v>
      </c>
      <c r="E956" t="s">
        <v>9</v>
      </c>
      <c r="F956" t="s">
        <v>13</v>
      </c>
      <c r="G956" s="3">
        <v>20009.63</v>
      </c>
      <c r="H956" t="str" cm="1">
        <f t="array" ref="H956">_xlfn.IFS(A956&lt;13, "Child", A956&lt;20, "Teenager", A956&lt;40, "Young Adult", A956&lt;60, "Senior Adult", A956&gt;=60, "Elderly")</f>
        <v>Young Adult</v>
      </c>
    </row>
    <row r="957" spans="1:8" x14ac:dyDescent="0.25">
      <c r="A957" s="1">
        <v>31</v>
      </c>
      <c r="B957" t="s">
        <v>8</v>
      </c>
      <c r="C957" s="2">
        <v>39.5</v>
      </c>
      <c r="D957" s="1">
        <v>1</v>
      </c>
      <c r="E957" t="s">
        <v>10</v>
      </c>
      <c r="F957" t="s">
        <v>12</v>
      </c>
      <c r="G957" s="3">
        <v>3875.73</v>
      </c>
      <c r="H957" t="str" cm="1">
        <f t="array" ref="H957">_xlfn.IFS(A957&lt;13, "Child", A957&lt;20, "Teenager", A957&lt;40, "Young Adult", A957&lt;60, "Senior Adult", A957&gt;=60, "Elderly")</f>
        <v>Young Adult</v>
      </c>
    </row>
    <row r="958" spans="1:8" x14ac:dyDescent="0.25">
      <c r="A958" s="1">
        <v>54</v>
      </c>
      <c r="B958" t="s">
        <v>8</v>
      </c>
      <c r="C958" s="2">
        <v>30.8</v>
      </c>
      <c r="D958" s="1">
        <v>1</v>
      </c>
      <c r="E958" t="s">
        <v>9</v>
      </c>
      <c r="F958" t="s">
        <v>12</v>
      </c>
      <c r="G958" s="3">
        <v>41999.519999999997</v>
      </c>
      <c r="H958" t="str" cm="1">
        <f t="array" ref="H958">_xlfn.IFS(A958&lt;13, "Child", A958&lt;20, "Teenager", A958&lt;40, "Young Adult", A958&lt;60, "Senior Adult", A958&gt;=60, "Elderly")</f>
        <v>Senior Adult</v>
      </c>
    </row>
    <row r="959" spans="1:8" x14ac:dyDescent="0.25">
      <c r="A959" s="1">
        <v>24</v>
      </c>
      <c r="B959" t="s">
        <v>8</v>
      </c>
      <c r="C959" s="2">
        <v>26.8</v>
      </c>
      <c r="D959" s="1">
        <v>1</v>
      </c>
      <c r="E959" t="s">
        <v>10</v>
      </c>
      <c r="F959" t="s">
        <v>13</v>
      </c>
      <c r="G959" s="3">
        <v>12609.89</v>
      </c>
      <c r="H959" t="str" cm="1">
        <f t="array" ref="H959">_xlfn.IFS(A959&lt;13, "Child", A959&lt;20, "Teenager", A959&lt;40, "Young Adult", A959&lt;60, "Senior Adult", A959&gt;=60, "Elderly")</f>
        <v>Young Adult</v>
      </c>
    </row>
    <row r="960" spans="1:8" x14ac:dyDescent="0.25">
      <c r="A960" s="1">
        <v>43</v>
      </c>
      <c r="B960" t="s">
        <v>8</v>
      </c>
      <c r="C960" s="2">
        <v>35</v>
      </c>
      <c r="D960" s="1">
        <v>1</v>
      </c>
      <c r="E960" t="s">
        <v>9</v>
      </c>
      <c r="F960" t="s">
        <v>14</v>
      </c>
      <c r="G960" s="3">
        <v>41034.22</v>
      </c>
      <c r="H960" t="str" cm="1">
        <f t="array" ref="H960">_xlfn.IFS(A960&lt;13, "Child", A960&lt;20, "Teenager", A960&lt;40, "Young Adult", A960&lt;60, "Senior Adult", A960&gt;=60, "Elderly")</f>
        <v>Senior Adult</v>
      </c>
    </row>
    <row r="961" spans="1:8" x14ac:dyDescent="0.25">
      <c r="A961" s="1">
        <v>48</v>
      </c>
      <c r="B961" t="s">
        <v>8</v>
      </c>
      <c r="C961" s="2">
        <v>36.700000000000003</v>
      </c>
      <c r="D961" s="1">
        <v>1</v>
      </c>
      <c r="E961" t="s">
        <v>10</v>
      </c>
      <c r="F961" t="s">
        <v>13</v>
      </c>
      <c r="G961" s="3">
        <v>28468.92</v>
      </c>
      <c r="H961" t="str" cm="1">
        <f t="array" ref="H961">_xlfn.IFS(A961&lt;13, "Child", A961&lt;20, "Teenager", A961&lt;40, "Young Adult", A961&lt;60, "Senior Adult", A961&gt;=60, "Elderly")</f>
        <v>Senior Adult</v>
      </c>
    </row>
    <row r="962" spans="1:8" x14ac:dyDescent="0.25">
      <c r="A962" s="1">
        <v>19</v>
      </c>
      <c r="B962" t="s">
        <v>7</v>
      </c>
      <c r="C962" s="2">
        <v>39.6</v>
      </c>
      <c r="D962" s="1">
        <v>1</v>
      </c>
      <c r="E962" t="s">
        <v>10</v>
      </c>
      <c r="F962" t="s">
        <v>13</v>
      </c>
      <c r="G962" s="3">
        <v>2730.11</v>
      </c>
      <c r="H962" t="str" cm="1">
        <f t="array" ref="H962">_xlfn.IFS(A962&lt;13, "Child", A962&lt;20, "Teenager", A962&lt;40, "Young Adult", A962&lt;60, "Senior Adult", A962&gt;=60, "Elderly")</f>
        <v>Teenager</v>
      </c>
    </row>
    <row r="963" spans="1:8" x14ac:dyDescent="0.25">
      <c r="A963" s="1">
        <v>29</v>
      </c>
      <c r="B963" t="s">
        <v>7</v>
      </c>
      <c r="C963" s="2">
        <v>25.9</v>
      </c>
      <c r="D963" s="1">
        <v>0</v>
      </c>
      <c r="E963" t="s">
        <v>10</v>
      </c>
      <c r="F963" t="s">
        <v>11</v>
      </c>
      <c r="G963" s="3">
        <v>3353.28</v>
      </c>
      <c r="H963" t="str" cm="1">
        <f t="array" ref="H963">_xlfn.IFS(A963&lt;13, "Child", A963&lt;20, "Teenager", A963&lt;40, "Young Adult", A963&lt;60, "Senior Adult", A963&gt;=60, "Elderly")</f>
        <v>Young Adult</v>
      </c>
    </row>
    <row r="964" spans="1:8" x14ac:dyDescent="0.25">
      <c r="A964" s="1">
        <v>63</v>
      </c>
      <c r="B964" t="s">
        <v>7</v>
      </c>
      <c r="C964" s="2">
        <v>35.200000000000003</v>
      </c>
      <c r="D964" s="1">
        <v>1</v>
      </c>
      <c r="E964" t="s">
        <v>10</v>
      </c>
      <c r="F964" t="s">
        <v>12</v>
      </c>
      <c r="G964" s="3">
        <v>14474.68</v>
      </c>
      <c r="H964" t="str" cm="1">
        <f t="array" ref="H964">_xlfn.IFS(A964&lt;13, "Child", A964&lt;20, "Teenager", A964&lt;40, "Young Adult", A964&lt;60, "Senior Adult", A964&gt;=60, "Elderly")</f>
        <v>Elderly</v>
      </c>
    </row>
    <row r="965" spans="1:8" x14ac:dyDescent="0.25">
      <c r="A965" s="1">
        <v>46</v>
      </c>
      <c r="B965" t="s">
        <v>8</v>
      </c>
      <c r="C965" s="2">
        <v>24.8</v>
      </c>
      <c r="D965" s="1">
        <v>3</v>
      </c>
      <c r="E965" t="s">
        <v>10</v>
      </c>
      <c r="F965" t="s">
        <v>14</v>
      </c>
      <c r="G965" s="3">
        <v>9500.57</v>
      </c>
      <c r="H965" t="str" cm="1">
        <f t="array" ref="H965">_xlfn.IFS(A965&lt;13, "Child", A965&lt;20, "Teenager", A965&lt;40, "Young Adult", A965&lt;60, "Senior Adult", A965&gt;=60, "Elderly")</f>
        <v>Senior Adult</v>
      </c>
    </row>
    <row r="966" spans="1:8" x14ac:dyDescent="0.25">
      <c r="A966" s="1">
        <v>52</v>
      </c>
      <c r="B966" t="s">
        <v>8</v>
      </c>
      <c r="C966" s="2">
        <v>36.799999999999997</v>
      </c>
      <c r="D966" s="1">
        <v>2</v>
      </c>
      <c r="E966" t="s">
        <v>10</v>
      </c>
      <c r="F966" t="s">
        <v>13</v>
      </c>
      <c r="G966" s="3">
        <v>26467.1</v>
      </c>
      <c r="H966" t="str" cm="1">
        <f t="array" ref="H966">_xlfn.IFS(A966&lt;13, "Child", A966&lt;20, "Teenager", A966&lt;40, "Young Adult", A966&lt;60, "Senior Adult", A966&gt;=60, "Elderly")</f>
        <v>Senior Adult</v>
      </c>
    </row>
    <row r="967" spans="1:8" x14ac:dyDescent="0.25">
      <c r="A967" s="1">
        <v>35</v>
      </c>
      <c r="B967" t="s">
        <v>8</v>
      </c>
      <c r="C967" s="2">
        <v>27.1</v>
      </c>
      <c r="D967" s="1">
        <v>1</v>
      </c>
      <c r="E967" t="s">
        <v>10</v>
      </c>
      <c r="F967" t="s">
        <v>11</v>
      </c>
      <c r="G967" s="3">
        <v>4746.34</v>
      </c>
      <c r="H967" t="str" cm="1">
        <f t="array" ref="H967">_xlfn.IFS(A967&lt;13, "Child", A967&lt;20, "Teenager", A967&lt;40, "Young Adult", A967&lt;60, "Senior Adult", A967&gt;=60, "Elderly")</f>
        <v>Young Adult</v>
      </c>
    </row>
    <row r="968" spans="1:8" x14ac:dyDescent="0.25">
      <c r="A968" s="1">
        <v>51</v>
      </c>
      <c r="B968" t="s">
        <v>8</v>
      </c>
      <c r="C968" s="2">
        <v>24.8</v>
      </c>
      <c r="D968" s="1">
        <v>2</v>
      </c>
      <c r="E968" t="s">
        <v>9</v>
      </c>
      <c r="F968" t="s">
        <v>13</v>
      </c>
      <c r="G968" s="3">
        <v>23967.38</v>
      </c>
      <c r="H968" t="str" cm="1">
        <f t="array" ref="H968">_xlfn.IFS(A968&lt;13, "Child", A968&lt;20, "Teenager", A968&lt;40, "Young Adult", A968&lt;60, "Senior Adult", A968&gt;=60, "Elderly")</f>
        <v>Senior Adult</v>
      </c>
    </row>
    <row r="969" spans="1:8" x14ac:dyDescent="0.25">
      <c r="A969" s="1">
        <v>44</v>
      </c>
      <c r="B969" t="s">
        <v>8</v>
      </c>
      <c r="C969" s="2">
        <v>25.4</v>
      </c>
      <c r="D969" s="1">
        <v>1</v>
      </c>
      <c r="E969" t="s">
        <v>10</v>
      </c>
      <c r="F969" t="s">
        <v>13</v>
      </c>
      <c r="G969" s="3">
        <v>7518.03</v>
      </c>
      <c r="H969" t="str" cm="1">
        <f t="array" ref="H969">_xlfn.IFS(A969&lt;13, "Child", A969&lt;20, "Teenager", A969&lt;40, "Young Adult", A969&lt;60, "Senior Adult", A969&gt;=60, "Elderly")</f>
        <v>Senior Adult</v>
      </c>
    </row>
    <row r="970" spans="1:8" x14ac:dyDescent="0.25">
      <c r="A970" s="1">
        <v>21</v>
      </c>
      <c r="B970" t="s">
        <v>8</v>
      </c>
      <c r="C970" s="2">
        <v>25.7</v>
      </c>
      <c r="D970" s="1">
        <v>2</v>
      </c>
      <c r="E970" t="s">
        <v>10</v>
      </c>
      <c r="F970" t="s">
        <v>14</v>
      </c>
      <c r="G970" s="3">
        <v>3279.87</v>
      </c>
      <c r="H970" t="str" cm="1">
        <f t="array" ref="H970">_xlfn.IFS(A970&lt;13, "Child", A970&lt;20, "Teenager", A970&lt;40, "Young Adult", A970&lt;60, "Senior Adult", A970&gt;=60, "Elderly")</f>
        <v>Young Adult</v>
      </c>
    </row>
    <row r="971" spans="1:8" x14ac:dyDescent="0.25">
      <c r="A971" s="1">
        <v>39</v>
      </c>
      <c r="B971" t="s">
        <v>7</v>
      </c>
      <c r="C971" s="2">
        <v>34.299999999999997</v>
      </c>
      <c r="D971" s="1">
        <v>5</v>
      </c>
      <c r="E971" t="s">
        <v>10</v>
      </c>
      <c r="F971" t="s">
        <v>12</v>
      </c>
      <c r="G971" s="3">
        <v>8596.83</v>
      </c>
      <c r="H971" t="str" cm="1">
        <f t="array" ref="H971">_xlfn.IFS(A971&lt;13, "Child", A971&lt;20, "Teenager", A971&lt;40, "Young Adult", A971&lt;60, "Senior Adult", A971&gt;=60, "Elderly")</f>
        <v>Young Adult</v>
      </c>
    </row>
    <row r="972" spans="1:8" x14ac:dyDescent="0.25">
      <c r="A972" s="1">
        <v>50</v>
      </c>
      <c r="B972" t="s">
        <v>7</v>
      </c>
      <c r="C972" s="2">
        <v>28.2</v>
      </c>
      <c r="D972" s="1">
        <v>3</v>
      </c>
      <c r="E972" t="s">
        <v>10</v>
      </c>
      <c r="F972" t="s">
        <v>12</v>
      </c>
      <c r="G972" s="3">
        <v>10702.64</v>
      </c>
      <c r="H972" t="str" cm="1">
        <f t="array" ref="H972">_xlfn.IFS(A972&lt;13, "Child", A972&lt;20, "Teenager", A972&lt;40, "Young Adult", A972&lt;60, "Senior Adult", A972&gt;=60, "Elderly")</f>
        <v>Senior Adult</v>
      </c>
    </row>
    <row r="973" spans="1:8" x14ac:dyDescent="0.25">
      <c r="A973" s="1">
        <v>34</v>
      </c>
      <c r="B973" t="s">
        <v>7</v>
      </c>
      <c r="C973" s="2">
        <v>23.6</v>
      </c>
      <c r="D973" s="1">
        <v>0</v>
      </c>
      <c r="E973" t="s">
        <v>10</v>
      </c>
      <c r="F973" t="s">
        <v>14</v>
      </c>
      <c r="G973" s="3">
        <v>4992.38</v>
      </c>
      <c r="H973" t="str" cm="1">
        <f t="array" ref="H973">_xlfn.IFS(A973&lt;13, "Child", A973&lt;20, "Teenager", A973&lt;40, "Young Adult", A973&lt;60, "Senior Adult", A973&gt;=60, "Elderly")</f>
        <v>Young Adult</v>
      </c>
    </row>
    <row r="974" spans="1:8" x14ac:dyDescent="0.25">
      <c r="A974" s="1">
        <v>22</v>
      </c>
      <c r="B974" t="s">
        <v>7</v>
      </c>
      <c r="C974" s="2">
        <v>20.2</v>
      </c>
      <c r="D974" s="1">
        <v>0</v>
      </c>
      <c r="E974" t="s">
        <v>10</v>
      </c>
      <c r="F974" t="s">
        <v>13</v>
      </c>
      <c r="G974" s="3">
        <v>2527.8200000000002</v>
      </c>
      <c r="H974" t="str" cm="1">
        <f t="array" ref="H974">_xlfn.IFS(A974&lt;13, "Child", A974&lt;20, "Teenager", A974&lt;40, "Young Adult", A974&lt;60, "Senior Adult", A974&gt;=60, "Elderly")</f>
        <v>Young Adult</v>
      </c>
    </row>
    <row r="975" spans="1:8" x14ac:dyDescent="0.25">
      <c r="A975" s="1">
        <v>19</v>
      </c>
      <c r="B975" t="s">
        <v>7</v>
      </c>
      <c r="C975" s="2">
        <v>40.5</v>
      </c>
      <c r="D975" s="1">
        <v>0</v>
      </c>
      <c r="E975" t="s">
        <v>10</v>
      </c>
      <c r="F975" t="s">
        <v>11</v>
      </c>
      <c r="G975" s="3">
        <v>1759.34</v>
      </c>
      <c r="H975" t="str" cm="1">
        <f t="array" ref="H975">_xlfn.IFS(A975&lt;13, "Child", A975&lt;20, "Teenager", A975&lt;40, "Young Adult", A975&lt;60, "Senior Adult", A975&gt;=60, "Elderly")</f>
        <v>Teenager</v>
      </c>
    </row>
    <row r="976" spans="1:8" x14ac:dyDescent="0.25">
      <c r="A976" s="1">
        <v>26</v>
      </c>
      <c r="B976" t="s">
        <v>8</v>
      </c>
      <c r="C976" s="2">
        <v>35.4</v>
      </c>
      <c r="D976" s="1">
        <v>0</v>
      </c>
      <c r="E976" t="s">
        <v>10</v>
      </c>
      <c r="F976" t="s">
        <v>12</v>
      </c>
      <c r="G976" s="3">
        <v>2322.62</v>
      </c>
      <c r="H976" t="str" cm="1">
        <f t="array" ref="H976">_xlfn.IFS(A976&lt;13, "Child", A976&lt;20, "Teenager", A976&lt;40, "Young Adult", A976&lt;60, "Senior Adult", A976&gt;=60, "Elderly")</f>
        <v>Young Adult</v>
      </c>
    </row>
    <row r="977" spans="1:8" x14ac:dyDescent="0.25">
      <c r="A977" s="1">
        <v>29</v>
      </c>
      <c r="B977" t="s">
        <v>8</v>
      </c>
      <c r="C977" s="2">
        <v>22.9</v>
      </c>
      <c r="D977" s="1">
        <v>0</v>
      </c>
      <c r="E977" t="s">
        <v>9</v>
      </c>
      <c r="F977" t="s">
        <v>14</v>
      </c>
      <c r="G977" s="3">
        <v>16138.76</v>
      </c>
      <c r="H977" t="str" cm="1">
        <f t="array" ref="H977">_xlfn.IFS(A977&lt;13, "Child", A977&lt;20, "Teenager", A977&lt;40, "Young Adult", A977&lt;60, "Senior Adult", A977&gt;=60, "Elderly")</f>
        <v>Young Adult</v>
      </c>
    </row>
    <row r="978" spans="1:8" x14ac:dyDescent="0.25">
      <c r="A978" s="1">
        <v>48</v>
      </c>
      <c r="B978" t="s">
        <v>8</v>
      </c>
      <c r="C978" s="2">
        <v>40.200000000000003</v>
      </c>
      <c r="D978" s="1">
        <v>0</v>
      </c>
      <c r="E978" t="s">
        <v>10</v>
      </c>
      <c r="F978" t="s">
        <v>12</v>
      </c>
      <c r="G978" s="3">
        <v>7804.16</v>
      </c>
      <c r="H978" t="str" cm="1">
        <f t="array" ref="H978">_xlfn.IFS(A978&lt;13, "Child", A978&lt;20, "Teenager", A978&lt;40, "Young Adult", A978&lt;60, "Senior Adult", A978&gt;=60, "Elderly")</f>
        <v>Senior Adult</v>
      </c>
    </row>
    <row r="979" spans="1:8" x14ac:dyDescent="0.25">
      <c r="A979" s="1">
        <v>26</v>
      </c>
      <c r="B979" t="s">
        <v>8</v>
      </c>
      <c r="C979" s="2">
        <v>29.2</v>
      </c>
      <c r="D979" s="1">
        <v>1</v>
      </c>
      <c r="E979" t="s">
        <v>10</v>
      </c>
      <c r="F979" t="s">
        <v>12</v>
      </c>
      <c r="G979" s="3">
        <v>2902.91</v>
      </c>
      <c r="H979" t="str" cm="1">
        <f t="array" ref="H979">_xlfn.IFS(A979&lt;13, "Child", A979&lt;20, "Teenager", A979&lt;40, "Young Adult", A979&lt;60, "Senior Adult", A979&gt;=60, "Elderly")</f>
        <v>Young Adult</v>
      </c>
    </row>
    <row r="980" spans="1:8" x14ac:dyDescent="0.25">
      <c r="A980" s="1">
        <v>45</v>
      </c>
      <c r="B980" t="s">
        <v>7</v>
      </c>
      <c r="C980" s="2">
        <v>40</v>
      </c>
      <c r="D980" s="1">
        <v>3</v>
      </c>
      <c r="E980" t="s">
        <v>10</v>
      </c>
      <c r="F980" t="s">
        <v>14</v>
      </c>
      <c r="G980" s="3">
        <v>9704.67</v>
      </c>
      <c r="H980" t="str" cm="1">
        <f t="array" ref="H980">_xlfn.IFS(A980&lt;13, "Child", A980&lt;20, "Teenager", A980&lt;40, "Young Adult", A980&lt;60, "Senior Adult", A980&gt;=60, "Elderly")</f>
        <v>Senior Adult</v>
      </c>
    </row>
    <row r="981" spans="1:8" x14ac:dyDescent="0.25">
      <c r="A981" s="1">
        <v>36</v>
      </c>
      <c r="B981" t="s">
        <v>7</v>
      </c>
      <c r="C981" s="2">
        <v>29.9</v>
      </c>
      <c r="D981" s="1">
        <v>0</v>
      </c>
      <c r="E981" t="s">
        <v>10</v>
      </c>
      <c r="F981" t="s">
        <v>12</v>
      </c>
      <c r="G981" s="3">
        <v>4889.04</v>
      </c>
      <c r="H981" t="str" cm="1">
        <f t="array" ref="H981">_xlfn.IFS(A981&lt;13, "Child", A981&lt;20, "Teenager", A981&lt;40, "Young Adult", A981&lt;60, "Senior Adult", A981&gt;=60, "Elderly")</f>
        <v>Young Adult</v>
      </c>
    </row>
    <row r="982" spans="1:8" x14ac:dyDescent="0.25">
      <c r="A982" s="1">
        <v>54</v>
      </c>
      <c r="B982" t="s">
        <v>8</v>
      </c>
      <c r="C982" s="2">
        <v>25.5</v>
      </c>
      <c r="D982" s="1">
        <v>1</v>
      </c>
      <c r="E982" t="s">
        <v>10</v>
      </c>
      <c r="F982" t="s">
        <v>14</v>
      </c>
      <c r="G982" s="3">
        <v>25517.11</v>
      </c>
      <c r="H982" t="str" cm="1">
        <f t="array" ref="H982">_xlfn.IFS(A982&lt;13, "Child", A982&lt;20, "Teenager", A982&lt;40, "Young Adult", A982&lt;60, "Senior Adult", A982&gt;=60, "Elderly")</f>
        <v>Senior Adult</v>
      </c>
    </row>
    <row r="983" spans="1:8" x14ac:dyDescent="0.25">
      <c r="A983" s="1">
        <v>34</v>
      </c>
      <c r="B983" t="s">
        <v>8</v>
      </c>
      <c r="C983" s="2">
        <v>21.4</v>
      </c>
      <c r="D983" s="1">
        <v>0</v>
      </c>
      <c r="E983" t="s">
        <v>10</v>
      </c>
      <c r="F983" t="s">
        <v>14</v>
      </c>
      <c r="G983" s="3">
        <v>4500.34</v>
      </c>
      <c r="H983" t="str" cm="1">
        <f t="array" ref="H983">_xlfn.IFS(A983&lt;13, "Child", A983&lt;20, "Teenager", A983&lt;40, "Young Adult", A983&lt;60, "Senior Adult", A983&gt;=60, "Elderly")</f>
        <v>Young Adult</v>
      </c>
    </row>
    <row r="984" spans="1:8" x14ac:dyDescent="0.25">
      <c r="A984" s="1">
        <v>31</v>
      </c>
      <c r="B984" t="s">
        <v>8</v>
      </c>
      <c r="C984" s="2">
        <v>25.9</v>
      </c>
      <c r="D984" s="1">
        <v>3</v>
      </c>
      <c r="E984" t="s">
        <v>9</v>
      </c>
      <c r="F984" t="s">
        <v>11</v>
      </c>
      <c r="G984" s="3">
        <v>19199.939999999999</v>
      </c>
      <c r="H984" t="str" cm="1">
        <f t="array" ref="H984">_xlfn.IFS(A984&lt;13, "Child", A984&lt;20, "Teenager", A984&lt;40, "Young Adult", A984&lt;60, "Senior Adult", A984&gt;=60, "Elderly")</f>
        <v>Young Adult</v>
      </c>
    </row>
    <row r="985" spans="1:8" x14ac:dyDescent="0.25">
      <c r="A985" s="1">
        <v>27</v>
      </c>
      <c r="B985" t="s">
        <v>7</v>
      </c>
      <c r="C985" s="2">
        <v>30.6</v>
      </c>
      <c r="D985" s="1">
        <v>1</v>
      </c>
      <c r="E985" t="s">
        <v>10</v>
      </c>
      <c r="F985" t="s">
        <v>14</v>
      </c>
      <c r="G985" s="3">
        <v>16796.41</v>
      </c>
      <c r="H985" t="str" cm="1">
        <f t="array" ref="H985">_xlfn.IFS(A985&lt;13, "Child", A985&lt;20, "Teenager", A985&lt;40, "Young Adult", A985&lt;60, "Senior Adult", A985&gt;=60, "Elderly")</f>
        <v>Young Adult</v>
      </c>
    </row>
    <row r="986" spans="1:8" x14ac:dyDescent="0.25">
      <c r="A986" s="1">
        <v>20</v>
      </c>
      <c r="B986" t="s">
        <v>8</v>
      </c>
      <c r="C986" s="2">
        <v>30.1</v>
      </c>
      <c r="D986" s="1">
        <v>5</v>
      </c>
      <c r="E986" t="s">
        <v>10</v>
      </c>
      <c r="F986" t="s">
        <v>14</v>
      </c>
      <c r="G986" s="3">
        <v>4915.0600000000004</v>
      </c>
      <c r="H986" t="str" cm="1">
        <f t="array" ref="H986">_xlfn.IFS(A986&lt;13, "Child", A986&lt;20, "Teenager", A986&lt;40, "Young Adult", A986&lt;60, "Senior Adult", A986&gt;=60, "Elderly")</f>
        <v>Young Adult</v>
      </c>
    </row>
    <row r="987" spans="1:8" x14ac:dyDescent="0.25">
      <c r="A987" s="1">
        <v>44</v>
      </c>
      <c r="B987" t="s">
        <v>7</v>
      </c>
      <c r="C987" s="2">
        <v>25.8</v>
      </c>
      <c r="D987" s="1">
        <v>1</v>
      </c>
      <c r="E987" t="s">
        <v>10</v>
      </c>
      <c r="F987" t="s">
        <v>11</v>
      </c>
      <c r="G987" s="3">
        <v>7624.63</v>
      </c>
      <c r="H987" t="str" cm="1">
        <f t="array" ref="H987">_xlfn.IFS(A987&lt;13, "Child", A987&lt;20, "Teenager", A987&lt;40, "Young Adult", A987&lt;60, "Senior Adult", A987&gt;=60, "Elderly")</f>
        <v>Senior Adult</v>
      </c>
    </row>
    <row r="988" spans="1:8" x14ac:dyDescent="0.25">
      <c r="A988" s="1">
        <v>43</v>
      </c>
      <c r="B988" t="s">
        <v>8</v>
      </c>
      <c r="C988" s="2">
        <v>30.1</v>
      </c>
      <c r="D988" s="1">
        <v>3</v>
      </c>
      <c r="E988" t="s">
        <v>10</v>
      </c>
      <c r="F988" t="s">
        <v>13</v>
      </c>
      <c r="G988" s="3">
        <v>8410.0499999999993</v>
      </c>
      <c r="H988" t="str" cm="1">
        <f t="array" ref="H988">_xlfn.IFS(A988&lt;13, "Child", A988&lt;20, "Teenager", A988&lt;40, "Young Adult", A988&lt;60, "Senior Adult", A988&gt;=60, "Elderly")</f>
        <v>Senior Adult</v>
      </c>
    </row>
    <row r="989" spans="1:8" x14ac:dyDescent="0.25">
      <c r="A989" s="1">
        <v>45</v>
      </c>
      <c r="B989" t="s">
        <v>7</v>
      </c>
      <c r="C989" s="2">
        <v>27.6</v>
      </c>
      <c r="D989" s="1">
        <v>1</v>
      </c>
      <c r="E989" t="s">
        <v>10</v>
      </c>
      <c r="F989" t="s">
        <v>13</v>
      </c>
      <c r="G989" s="3">
        <v>28340.19</v>
      </c>
      <c r="H989" t="str" cm="1">
        <f t="array" ref="H989">_xlfn.IFS(A989&lt;13, "Child", A989&lt;20, "Teenager", A989&lt;40, "Young Adult", A989&lt;60, "Senior Adult", A989&gt;=60, "Elderly")</f>
        <v>Senior Adult</v>
      </c>
    </row>
    <row r="990" spans="1:8" x14ac:dyDescent="0.25">
      <c r="A990" s="1">
        <v>34</v>
      </c>
      <c r="B990" t="s">
        <v>8</v>
      </c>
      <c r="C990" s="2">
        <v>34.700000000000003</v>
      </c>
      <c r="D990" s="1">
        <v>0</v>
      </c>
      <c r="E990" t="s">
        <v>10</v>
      </c>
      <c r="F990" t="s">
        <v>14</v>
      </c>
      <c r="G990" s="3">
        <v>4518.83</v>
      </c>
      <c r="H990" t="str" cm="1">
        <f t="array" ref="H990">_xlfn.IFS(A990&lt;13, "Child", A990&lt;20, "Teenager", A990&lt;40, "Young Adult", A990&lt;60, "Senior Adult", A990&gt;=60, "Elderly")</f>
        <v>Young Adult</v>
      </c>
    </row>
    <row r="991" spans="1:8" x14ac:dyDescent="0.25">
      <c r="A991" s="1">
        <v>24</v>
      </c>
      <c r="B991" t="s">
        <v>7</v>
      </c>
      <c r="C991" s="2">
        <v>20.5</v>
      </c>
      <c r="D991" s="1">
        <v>0</v>
      </c>
      <c r="E991" t="s">
        <v>9</v>
      </c>
      <c r="F991" t="s">
        <v>14</v>
      </c>
      <c r="G991" s="3">
        <v>14571.89</v>
      </c>
      <c r="H991" t="str" cm="1">
        <f t="array" ref="H991">_xlfn.IFS(A991&lt;13, "Child", A991&lt;20, "Teenager", A991&lt;40, "Young Adult", A991&lt;60, "Senior Adult", A991&gt;=60, "Elderly")</f>
        <v>Young Adult</v>
      </c>
    </row>
    <row r="992" spans="1:8" x14ac:dyDescent="0.25">
      <c r="A992" s="1">
        <v>26</v>
      </c>
      <c r="B992" t="s">
        <v>7</v>
      </c>
      <c r="C992" s="2">
        <v>19.8</v>
      </c>
      <c r="D992" s="1">
        <v>1</v>
      </c>
      <c r="E992" t="s">
        <v>10</v>
      </c>
      <c r="F992" t="s">
        <v>11</v>
      </c>
      <c r="G992" s="3">
        <v>3378.91</v>
      </c>
      <c r="H992" t="str" cm="1">
        <f t="array" ref="H992">_xlfn.IFS(A992&lt;13, "Child", A992&lt;20, "Teenager", A992&lt;40, "Young Adult", A992&lt;60, "Senior Adult", A992&gt;=60, "Elderly")</f>
        <v>Young Adult</v>
      </c>
    </row>
    <row r="993" spans="1:8" x14ac:dyDescent="0.25">
      <c r="A993" s="1">
        <v>38</v>
      </c>
      <c r="B993" t="s">
        <v>7</v>
      </c>
      <c r="C993" s="2">
        <v>27.8</v>
      </c>
      <c r="D993" s="1">
        <v>2</v>
      </c>
      <c r="E993" t="s">
        <v>10</v>
      </c>
      <c r="F993" t="s">
        <v>14</v>
      </c>
      <c r="G993" s="3">
        <v>7144.86</v>
      </c>
      <c r="H993" t="str" cm="1">
        <f t="array" ref="H993">_xlfn.IFS(A993&lt;13, "Child", A993&lt;20, "Teenager", A993&lt;40, "Young Adult", A993&lt;60, "Senior Adult", A993&gt;=60, "Elderly")</f>
        <v>Young Adult</v>
      </c>
    </row>
    <row r="994" spans="1:8" x14ac:dyDescent="0.25">
      <c r="A994" s="1">
        <v>50</v>
      </c>
      <c r="B994" t="s">
        <v>7</v>
      </c>
      <c r="C994" s="2">
        <v>31.6</v>
      </c>
      <c r="D994" s="1">
        <v>2</v>
      </c>
      <c r="E994" t="s">
        <v>10</v>
      </c>
      <c r="F994" t="s">
        <v>11</v>
      </c>
      <c r="G994" s="3">
        <v>10118.42</v>
      </c>
      <c r="H994" t="str" cm="1">
        <f t="array" ref="H994">_xlfn.IFS(A994&lt;13, "Child", A994&lt;20, "Teenager", A994&lt;40, "Young Adult", A994&lt;60, "Senior Adult", A994&gt;=60, "Elderly")</f>
        <v>Senior Adult</v>
      </c>
    </row>
    <row r="995" spans="1:8" x14ac:dyDescent="0.25">
      <c r="A995" s="1">
        <v>38</v>
      </c>
      <c r="B995" t="s">
        <v>8</v>
      </c>
      <c r="C995" s="2">
        <v>28.3</v>
      </c>
      <c r="D995" s="1">
        <v>1</v>
      </c>
      <c r="E995" t="s">
        <v>10</v>
      </c>
      <c r="F995" t="s">
        <v>12</v>
      </c>
      <c r="G995" s="3">
        <v>5484.47</v>
      </c>
      <c r="H995" t="str" cm="1">
        <f t="array" ref="H995">_xlfn.IFS(A995&lt;13, "Child", A995&lt;20, "Teenager", A995&lt;40, "Young Adult", A995&lt;60, "Senior Adult", A995&gt;=60, "Elderly")</f>
        <v>Young Adult</v>
      </c>
    </row>
    <row r="996" spans="1:8" x14ac:dyDescent="0.25">
      <c r="A996" s="1">
        <v>27</v>
      </c>
      <c r="B996" t="s">
        <v>7</v>
      </c>
      <c r="C996" s="2">
        <v>20</v>
      </c>
      <c r="D996" s="1">
        <v>3</v>
      </c>
      <c r="E996" t="s">
        <v>9</v>
      </c>
      <c r="F996" t="s">
        <v>13</v>
      </c>
      <c r="G996" s="3">
        <v>16420.490000000002</v>
      </c>
      <c r="H996" t="str" cm="1">
        <f t="array" ref="H996">_xlfn.IFS(A996&lt;13, "Child", A996&lt;20, "Teenager", A996&lt;40, "Young Adult", A996&lt;60, "Senior Adult", A996&gt;=60, "Elderly")</f>
        <v>Young Adult</v>
      </c>
    </row>
    <row r="997" spans="1:8" x14ac:dyDescent="0.25">
      <c r="A997" s="1">
        <v>39</v>
      </c>
      <c r="B997" t="s">
        <v>7</v>
      </c>
      <c r="C997" s="2">
        <v>23.3</v>
      </c>
      <c r="D997" s="1">
        <v>3</v>
      </c>
      <c r="E997" t="s">
        <v>10</v>
      </c>
      <c r="F997" t="s">
        <v>14</v>
      </c>
      <c r="G997" s="3">
        <v>7986.48</v>
      </c>
      <c r="H997" t="str" cm="1">
        <f t="array" ref="H997">_xlfn.IFS(A997&lt;13, "Child", A997&lt;20, "Teenager", A997&lt;40, "Young Adult", A997&lt;60, "Senior Adult", A997&gt;=60, "Elderly")</f>
        <v>Young Adult</v>
      </c>
    </row>
    <row r="998" spans="1:8" x14ac:dyDescent="0.25">
      <c r="A998" s="1">
        <v>39</v>
      </c>
      <c r="B998" t="s">
        <v>7</v>
      </c>
      <c r="C998" s="2">
        <v>34.1</v>
      </c>
      <c r="D998" s="1">
        <v>3</v>
      </c>
      <c r="E998" t="s">
        <v>10</v>
      </c>
      <c r="F998" t="s">
        <v>11</v>
      </c>
      <c r="G998" s="3">
        <v>7418.52</v>
      </c>
      <c r="H998" t="str" cm="1">
        <f t="array" ref="H998">_xlfn.IFS(A998&lt;13, "Child", A998&lt;20, "Teenager", A998&lt;40, "Young Adult", A998&lt;60, "Senior Adult", A998&gt;=60, "Elderly")</f>
        <v>Young Adult</v>
      </c>
    </row>
    <row r="999" spans="1:8" x14ac:dyDescent="0.25">
      <c r="A999" s="1">
        <v>63</v>
      </c>
      <c r="B999" t="s">
        <v>7</v>
      </c>
      <c r="C999" s="2">
        <v>36.9</v>
      </c>
      <c r="D999" s="1">
        <v>0</v>
      </c>
      <c r="E999" t="s">
        <v>10</v>
      </c>
      <c r="F999" t="s">
        <v>12</v>
      </c>
      <c r="G999" s="3">
        <v>13887.97</v>
      </c>
      <c r="H999" t="str" cm="1">
        <f t="array" ref="H999">_xlfn.IFS(A999&lt;13, "Child", A999&lt;20, "Teenager", A999&lt;40, "Young Adult", A999&lt;60, "Senior Adult", A999&gt;=60, "Elderly")</f>
        <v>Elderly</v>
      </c>
    </row>
    <row r="1000" spans="1:8" x14ac:dyDescent="0.25">
      <c r="A1000" s="1">
        <v>33</v>
      </c>
      <c r="B1000" t="s">
        <v>7</v>
      </c>
      <c r="C1000" s="2">
        <v>36.299999999999997</v>
      </c>
      <c r="D1000" s="1">
        <v>3</v>
      </c>
      <c r="E1000" t="s">
        <v>10</v>
      </c>
      <c r="F1000" t="s">
        <v>14</v>
      </c>
      <c r="G1000" s="3">
        <v>6551.75</v>
      </c>
      <c r="H1000" t="str" cm="1">
        <f t="array" ref="H1000">_xlfn.IFS(A1000&lt;13, "Child", A1000&lt;20, "Teenager", A1000&lt;40, "Young Adult", A1000&lt;60, "Senior Adult", A1000&gt;=60, "Elderly")</f>
        <v>Young Adult</v>
      </c>
    </row>
    <row r="1001" spans="1:8" x14ac:dyDescent="0.25">
      <c r="A1001" s="1">
        <v>36</v>
      </c>
      <c r="B1001" t="s">
        <v>7</v>
      </c>
      <c r="C1001" s="2">
        <v>26.9</v>
      </c>
      <c r="D1001" s="1">
        <v>0</v>
      </c>
      <c r="E1001" t="s">
        <v>10</v>
      </c>
      <c r="F1001" t="s">
        <v>13</v>
      </c>
      <c r="G1001" s="3">
        <v>5267.82</v>
      </c>
      <c r="H1001" t="str" cm="1">
        <f t="array" ref="H1001">_xlfn.IFS(A1001&lt;13, "Child", A1001&lt;20, "Teenager", A1001&lt;40, "Young Adult", A1001&lt;60, "Senior Adult", A1001&gt;=60, "Elderly")</f>
        <v>Young Adult</v>
      </c>
    </row>
    <row r="1002" spans="1:8" x14ac:dyDescent="0.25">
      <c r="A1002" s="1">
        <v>30</v>
      </c>
      <c r="B1002" t="s">
        <v>8</v>
      </c>
      <c r="C1002" s="2">
        <v>23</v>
      </c>
      <c r="D1002" s="1">
        <v>2</v>
      </c>
      <c r="E1002" t="s">
        <v>9</v>
      </c>
      <c r="F1002" t="s">
        <v>13</v>
      </c>
      <c r="G1002" s="3">
        <v>17361.77</v>
      </c>
      <c r="H1002" t="str" cm="1">
        <f t="array" ref="H1002">_xlfn.IFS(A1002&lt;13, "Child", A1002&lt;20, "Teenager", A1002&lt;40, "Young Adult", A1002&lt;60, "Senior Adult", A1002&gt;=60, "Elderly")</f>
        <v>Young Adult</v>
      </c>
    </row>
    <row r="1003" spans="1:8" x14ac:dyDescent="0.25">
      <c r="A1003" s="1">
        <v>24</v>
      </c>
      <c r="B1003" t="s">
        <v>8</v>
      </c>
      <c r="C1003" s="2">
        <v>32.700000000000003</v>
      </c>
      <c r="D1003" s="1">
        <v>0</v>
      </c>
      <c r="E1003" t="s">
        <v>9</v>
      </c>
      <c r="F1003" t="s">
        <v>11</v>
      </c>
      <c r="G1003" s="3">
        <v>34472.839999999997</v>
      </c>
      <c r="H1003" t="str" cm="1">
        <f t="array" ref="H1003">_xlfn.IFS(A1003&lt;13, "Child", A1003&lt;20, "Teenager", A1003&lt;40, "Young Adult", A1003&lt;60, "Senior Adult", A1003&gt;=60, "Elderly")</f>
        <v>Young Adult</v>
      </c>
    </row>
    <row r="1004" spans="1:8" x14ac:dyDescent="0.25">
      <c r="A1004" s="1">
        <v>24</v>
      </c>
      <c r="B1004" t="s">
        <v>8</v>
      </c>
      <c r="C1004" s="2">
        <v>25.8</v>
      </c>
      <c r="D1004" s="1">
        <v>0</v>
      </c>
      <c r="E1004" t="s">
        <v>10</v>
      </c>
      <c r="F1004" t="s">
        <v>11</v>
      </c>
      <c r="G1004" s="3">
        <v>1972.95</v>
      </c>
      <c r="H1004" t="str" cm="1">
        <f t="array" ref="H1004">_xlfn.IFS(A1004&lt;13, "Child", A1004&lt;20, "Teenager", A1004&lt;40, "Young Adult", A1004&lt;60, "Senior Adult", A1004&gt;=60, "Elderly")</f>
        <v>Young Adult</v>
      </c>
    </row>
    <row r="1005" spans="1:8" x14ac:dyDescent="0.25">
      <c r="A1005" s="1">
        <v>48</v>
      </c>
      <c r="B1005" t="s">
        <v>8</v>
      </c>
      <c r="C1005" s="2">
        <v>29.6</v>
      </c>
      <c r="D1005" s="1">
        <v>0</v>
      </c>
      <c r="E1005" t="s">
        <v>10</v>
      </c>
      <c r="F1005" t="s">
        <v>11</v>
      </c>
      <c r="G1005" s="3">
        <v>21232.18</v>
      </c>
      <c r="H1005" t="str" cm="1">
        <f t="array" ref="H1005">_xlfn.IFS(A1005&lt;13, "Child", A1005&lt;20, "Teenager", A1005&lt;40, "Young Adult", A1005&lt;60, "Senior Adult", A1005&gt;=60, "Elderly")</f>
        <v>Senior Adult</v>
      </c>
    </row>
    <row r="1006" spans="1:8" x14ac:dyDescent="0.25">
      <c r="A1006" s="1">
        <v>47</v>
      </c>
      <c r="B1006" t="s">
        <v>8</v>
      </c>
      <c r="C1006" s="2">
        <v>19.2</v>
      </c>
      <c r="D1006" s="1">
        <v>1</v>
      </c>
      <c r="E1006" t="s">
        <v>10</v>
      </c>
      <c r="F1006" t="s">
        <v>14</v>
      </c>
      <c r="G1006" s="3">
        <v>8627.5400000000009</v>
      </c>
      <c r="H1006" t="str" cm="1">
        <f t="array" ref="H1006">_xlfn.IFS(A1006&lt;13, "Child", A1006&lt;20, "Teenager", A1006&lt;40, "Young Adult", A1006&lt;60, "Senior Adult", A1006&gt;=60, "Elderly")</f>
        <v>Senior Adult</v>
      </c>
    </row>
    <row r="1007" spans="1:8" x14ac:dyDescent="0.25">
      <c r="A1007" s="1">
        <v>29</v>
      </c>
      <c r="B1007" t="s">
        <v>8</v>
      </c>
      <c r="C1007" s="2">
        <v>31.7</v>
      </c>
      <c r="D1007" s="1">
        <v>2</v>
      </c>
      <c r="E1007" t="s">
        <v>10</v>
      </c>
      <c r="F1007" t="s">
        <v>13</v>
      </c>
      <c r="G1007" s="3">
        <v>4433.3900000000003</v>
      </c>
      <c r="H1007" t="str" cm="1">
        <f t="array" ref="H1007">_xlfn.IFS(A1007&lt;13, "Child", A1007&lt;20, "Teenager", A1007&lt;40, "Young Adult", A1007&lt;60, "Senior Adult", A1007&gt;=60, "Elderly")</f>
        <v>Young Adult</v>
      </c>
    </row>
    <row r="1008" spans="1:8" x14ac:dyDescent="0.25">
      <c r="A1008" s="1">
        <v>28</v>
      </c>
      <c r="B1008" t="s">
        <v>8</v>
      </c>
      <c r="C1008" s="2">
        <v>29.3</v>
      </c>
      <c r="D1008" s="1">
        <v>2</v>
      </c>
      <c r="E1008" t="s">
        <v>10</v>
      </c>
      <c r="F1008" t="s">
        <v>14</v>
      </c>
      <c r="G1008" s="3">
        <v>4438.26</v>
      </c>
      <c r="H1008" t="str" cm="1">
        <f t="array" ref="H1008">_xlfn.IFS(A1008&lt;13, "Child", A1008&lt;20, "Teenager", A1008&lt;40, "Young Adult", A1008&lt;60, "Senior Adult", A1008&gt;=60, "Elderly")</f>
        <v>Young Adult</v>
      </c>
    </row>
    <row r="1009" spans="1:8" x14ac:dyDescent="0.25">
      <c r="A1009" s="1">
        <v>47</v>
      </c>
      <c r="B1009" t="s">
        <v>8</v>
      </c>
      <c r="C1009" s="2">
        <v>28.2</v>
      </c>
      <c r="D1009" s="1">
        <v>3</v>
      </c>
      <c r="E1009" t="s">
        <v>9</v>
      </c>
      <c r="F1009" t="s">
        <v>13</v>
      </c>
      <c r="G1009" s="3">
        <v>24915.22</v>
      </c>
      <c r="H1009" t="str" cm="1">
        <f t="array" ref="H1009">_xlfn.IFS(A1009&lt;13, "Child", A1009&lt;20, "Teenager", A1009&lt;40, "Young Adult", A1009&lt;60, "Senior Adult", A1009&gt;=60, "Elderly")</f>
        <v>Senior Adult</v>
      </c>
    </row>
    <row r="1010" spans="1:8" x14ac:dyDescent="0.25">
      <c r="A1010" s="1">
        <v>25</v>
      </c>
      <c r="B1010" t="s">
        <v>8</v>
      </c>
      <c r="C1010" s="2">
        <v>25</v>
      </c>
      <c r="D1010" s="1">
        <v>2</v>
      </c>
      <c r="E1010" t="s">
        <v>10</v>
      </c>
      <c r="F1010" t="s">
        <v>14</v>
      </c>
      <c r="G1010" s="3">
        <v>23241.47</v>
      </c>
      <c r="H1010" t="str" cm="1">
        <f t="array" ref="H1010">_xlfn.IFS(A1010&lt;13, "Child", A1010&lt;20, "Teenager", A1010&lt;40, "Young Adult", A1010&lt;60, "Senior Adult", A1010&gt;=60, "Elderly")</f>
        <v>Young Adult</v>
      </c>
    </row>
    <row r="1011" spans="1:8" x14ac:dyDescent="0.25">
      <c r="A1011" s="1">
        <v>51</v>
      </c>
      <c r="B1011" t="s">
        <v>8</v>
      </c>
      <c r="C1011" s="2">
        <v>27.7</v>
      </c>
      <c r="D1011" s="1">
        <v>1</v>
      </c>
      <c r="E1011" t="s">
        <v>10</v>
      </c>
      <c r="F1011" t="s">
        <v>14</v>
      </c>
      <c r="G1011" s="3">
        <v>9957.7199999999993</v>
      </c>
      <c r="H1011" t="str" cm="1">
        <f t="array" ref="H1011">_xlfn.IFS(A1011&lt;13, "Child", A1011&lt;20, "Teenager", A1011&lt;40, "Young Adult", A1011&lt;60, "Senior Adult", A1011&gt;=60, "Elderly")</f>
        <v>Senior Adult</v>
      </c>
    </row>
    <row r="1012" spans="1:8" x14ac:dyDescent="0.25">
      <c r="A1012" s="1">
        <v>48</v>
      </c>
      <c r="B1012" t="s">
        <v>7</v>
      </c>
      <c r="C1012" s="2">
        <v>22.8</v>
      </c>
      <c r="D1012" s="1">
        <v>0</v>
      </c>
      <c r="E1012" t="s">
        <v>10</v>
      </c>
      <c r="F1012" t="s">
        <v>11</v>
      </c>
      <c r="G1012" s="3">
        <v>8269.0400000000009</v>
      </c>
      <c r="H1012" t="str" cm="1">
        <f t="array" ref="H1012">_xlfn.IFS(A1012&lt;13, "Child", A1012&lt;20, "Teenager", A1012&lt;40, "Young Adult", A1012&lt;60, "Senior Adult", A1012&gt;=60, "Elderly")</f>
        <v>Senior Adult</v>
      </c>
    </row>
    <row r="1013" spans="1:8" x14ac:dyDescent="0.25">
      <c r="A1013" s="1">
        <v>43</v>
      </c>
      <c r="B1013" t="s">
        <v>8</v>
      </c>
      <c r="C1013" s="2">
        <v>20.100000000000001</v>
      </c>
      <c r="D1013" s="1">
        <v>2</v>
      </c>
      <c r="E1013" t="s">
        <v>9</v>
      </c>
      <c r="F1013" t="s">
        <v>12</v>
      </c>
      <c r="G1013" s="3">
        <v>18767.740000000002</v>
      </c>
      <c r="H1013" t="str" cm="1">
        <f t="array" ref="H1013">_xlfn.IFS(A1013&lt;13, "Child", A1013&lt;20, "Teenager", A1013&lt;40, "Young Adult", A1013&lt;60, "Senior Adult", A1013&gt;=60, "Elderly")</f>
        <v>Senior Adult</v>
      </c>
    </row>
    <row r="1014" spans="1:8" x14ac:dyDescent="0.25">
      <c r="A1014" s="1">
        <v>61</v>
      </c>
      <c r="B1014" t="s">
        <v>7</v>
      </c>
      <c r="C1014" s="2">
        <v>33.299999999999997</v>
      </c>
      <c r="D1014" s="1">
        <v>4</v>
      </c>
      <c r="E1014" t="s">
        <v>10</v>
      </c>
      <c r="F1014" t="s">
        <v>12</v>
      </c>
      <c r="G1014" s="3">
        <v>36580.28</v>
      </c>
      <c r="H1014" t="str" cm="1">
        <f t="array" ref="H1014">_xlfn.IFS(A1014&lt;13, "Child", A1014&lt;20, "Teenager", A1014&lt;40, "Young Adult", A1014&lt;60, "Senior Adult", A1014&gt;=60, "Elderly")</f>
        <v>Elderly</v>
      </c>
    </row>
    <row r="1015" spans="1:8" x14ac:dyDescent="0.25">
      <c r="A1015" s="1">
        <v>48</v>
      </c>
      <c r="B1015" t="s">
        <v>8</v>
      </c>
      <c r="C1015" s="2">
        <v>32.299999999999997</v>
      </c>
      <c r="D1015" s="1">
        <v>1</v>
      </c>
      <c r="E1015" t="s">
        <v>10</v>
      </c>
      <c r="F1015" t="s">
        <v>13</v>
      </c>
      <c r="G1015" s="3">
        <v>8765.25</v>
      </c>
      <c r="H1015" t="str" cm="1">
        <f t="array" ref="H1015">_xlfn.IFS(A1015&lt;13, "Child", A1015&lt;20, "Teenager", A1015&lt;40, "Young Adult", A1015&lt;60, "Senior Adult", A1015&gt;=60, "Elderly")</f>
        <v>Senior Adult</v>
      </c>
    </row>
    <row r="1016" spans="1:8" x14ac:dyDescent="0.25">
      <c r="A1016" s="1">
        <v>38</v>
      </c>
      <c r="B1016" t="s">
        <v>7</v>
      </c>
      <c r="C1016" s="2">
        <v>27.6</v>
      </c>
      <c r="D1016" s="1">
        <v>0</v>
      </c>
      <c r="E1016" t="s">
        <v>10</v>
      </c>
      <c r="F1016" t="s">
        <v>11</v>
      </c>
      <c r="G1016" s="3">
        <v>5383.54</v>
      </c>
      <c r="H1016" t="str" cm="1">
        <f t="array" ref="H1016">_xlfn.IFS(A1016&lt;13, "Child", A1016&lt;20, "Teenager", A1016&lt;40, "Young Adult", A1016&lt;60, "Senior Adult", A1016&gt;=60, "Elderly")</f>
        <v>Young Adult</v>
      </c>
    </row>
    <row r="1017" spans="1:8" x14ac:dyDescent="0.25">
      <c r="A1017" s="1">
        <v>59</v>
      </c>
      <c r="B1017" t="s">
        <v>8</v>
      </c>
      <c r="C1017" s="2">
        <v>25.5</v>
      </c>
      <c r="D1017" s="1">
        <v>0</v>
      </c>
      <c r="E1017" t="s">
        <v>10</v>
      </c>
      <c r="F1017" t="s">
        <v>13</v>
      </c>
      <c r="G1017" s="3">
        <v>12124.99</v>
      </c>
      <c r="H1017" t="str" cm="1">
        <f t="array" ref="H1017">_xlfn.IFS(A1017&lt;13, "Child", A1017&lt;20, "Teenager", A1017&lt;40, "Young Adult", A1017&lt;60, "Senior Adult", A1017&gt;=60, "Elderly")</f>
        <v>Senior Adult</v>
      </c>
    </row>
    <row r="1018" spans="1:8" x14ac:dyDescent="0.25">
      <c r="A1018" s="1">
        <v>19</v>
      </c>
      <c r="B1018" t="s">
        <v>7</v>
      </c>
      <c r="C1018" s="2">
        <v>24.6</v>
      </c>
      <c r="D1018" s="1">
        <v>1</v>
      </c>
      <c r="E1018" t="s">
        <v>10</v>
      </c>
      <c r="F1018" t="s">
        <v>13</v>
      </c>
      <c r="G1018" s="3">
        <v>2709.24</v>
      </c>
      <c r="H1018" t="str" cm="1">
        <f t="array" ref="H1018">_xlfn.IFS(A1018&lt;13, "Child", A1018&lt;20, "Teenager", A1018&lt;40, "Young Adult", A1018&lt;60, "Senior Adult", A1018&gt;=60, "Elderly")</f>
        <v>Teenager</v>
      </c>
    </row>
    <row r="1019" spans="1:8" x14ac:dyDescent="0.25">
      <c r="A1019" s="1">
        <v>26</v>
      </c>
      <c r="B1019" t="s">
        <v>7</v>
      </c>
      <c r="C1019" s="2">
        <v>34.200000000000003</v>
      </c>
      <c r="D1019" s="1">
        <v>2</v>
      </c>
      <c r="E1019" t="s">
        <v>10</v>
      </c>
      <c r="F1019" t="s">
        <v>11</v>
      </c>
      <c r="G1019" s="3">
        <v>3987.93</v>
      </c>
      <c r="H1019" t="str" cm="1">
        <f t="array" ref="H1019">_xlfn.IFS(A1019&lt;13, "Child", A1019&lt;20, "Teenager", A1019&lt;40, "Young Adult", A1019&lt;60, "Senior Adult", A1019&gt;=60, "Elderly")</f>
        <v>Young Adult</v>
      </c>
    </row>
    <row r="1020" spans="1:8" x14ac:dyDescent="0.25">
      <c r="A1020" s="1">
        <v>54</v>
      </c>
      <c r="B1020" t="s">
        <v>7</v>
      </c>
      <c r="C1020" s="2">
        <v>35.799999999999997</v>
      </c>
      <c r="D1020" s="1">
        <v>3</v>
      </c>
      <c r="E1020" t="s">
        <v>10</v>
      </c>
      <c r="F1020" t="s">
        <v>13</v>
      </c>
      <c r="G1020" s="3">
        <v>12495.29</v>
      </c>
      <c r="H1020" t="str" cm="1">
        <f t="array" ref="H1020">_xlfn.IFS(A1020&lt;13, "Child", A1020&lt;20, "Teenager", A1020&lt;40, "Young Adult", A1020&lt;60, "Senior Adult", A1020&gt;=60, "Elderly")</f>
        <v>Senior Adult</v>
      </c>
    </row>
    <row r="1021" spans="1:8" x14ac:dyDescent="0.25">
      <c r="A1021" s="1">
        <v>21</v>
      </c>
      <c r="B1021" t="s">
        <v>7</v>
      </c>
      <c r="C1021" s="2">
        <v>32.700000000000003</v>
      </c>
      <c r="D1021" s="1">
        <v>2</v>
      </c>
      <c r="E1021" t="s">
        <v>10</v>
      </c>
      <c r="F1021" t="s">
        <v>13</v>
      </c>
      <c r="G1021" s="3">
        <v>26018.95</v>
      </c>
      <c r="H1021" t="str" cm="1">
        <f t="array" ref="H1021">_xlfn.IFS(A1021&lt;13, "Child", A1021&lt;20, "Teenager", A1021&lt;40, "Young Adult", A1021&lt;60, "Senior Adult", A1021&gt;=60, "Elderly")</f>
        <v>Young Adult</v>
      </c>
    </row>
    <row r="1022" spans="1:8" x14ac:dyDescent="0.25">
      <c r="A1022" s="1">
        <v>51</v>
      </c>
      <c r="B1022" t="s">
        <v>8</v>
      </c>
      <c r="C1022" s="2">
        <v>37</v>
      </c>
      <c r="D1022" s="1">
        <v>0</v>
      </c>
      <c r="E1022" t="s">
        <v>10</v>
      </c>
      <c r="F1022" t="s">
        <v>11</v>
      </c>
      <c r="G1022" s="3">
        <v>8798.59</v>
      </c>
      <c r="H1022" t="str" cm="1">
        <f t="array" ref="H1022">_xlfn.IFS(A1022&lt;13, "Child", A1022&lt;20, "Teenager", A1022&lt;40, "Young Adult", A1022&lt;60, "Senior Adult", A1022&gt;=60, "Elderly")</f>
        <v>Senior Adult</v>
      </c>
    </row>
    <row r="1023" spans="1:8" x14ac:dyDescent="0.25">
      <c r="A1023" s="1">
        <v>22</v>
      </c>
      <c r="B1023" t="s">
        <v>7</v>
      </c>
      <c r="C1023" s="2">
        <v>31</v>
      </c>
      <c r="D1023" s="1">
        <v>3</v>
      </c>
      <c r="E1023" t="s">
        <v>9</v>
      </c>
      <c r="F1023" t="s">
        <v>12</v>
      </c>
      <c r="G1023" s="3">
        <v>35595.589999999997</v>
      </c>
      <c r="H1023" t="str" cm="1">
        <f t="array" ref="H1023">_xlfn.IFS(A1023&lt;13, "Child", A1023&lt;20, "Teenager", A1023&lt;40, "Young Adult", A1023&lt;60, "Senior Adult", A1023&gt;=60, "Elderly")</f>
        <v>Young Adult</v>
      </c>
    </row>
    <row r="1024" spans="1:8" x14ac:dyDescent="0.25">
      <c r="A1024" s="1">
        <v>47</v>
      </c>
      <c r="B1024" t="s">
        <v>8</v>
      </c>
      <c r="C1024" s="2">
        <v>36.1</v>
      </c>
      <c r="D1024" s="1">
        <v>1</v>
      </c>
      <c r="E1024" t="s">
        <v>9</v>
      </c>
      <c r="F1024" t="s">
        <v>12</v>
      </c>
      <c r="G1024" s="3">
        <v>42211.14</v>
      </c>
      <c r="H1024" t="str" cm="1">
        <f t="array" ref="H1024">_xlfn.IFS(A1024&lt;13, "Child", A1024&lt;20, "Teenager", A1024&lt;40, "Young Adult", A1024&lt;60, "Senior Adult", A1024&gt;=60, "Elderly")</f>
        <v>Senior Adult</v>
      </c>
    </row>
    <row r="1025" spans="1:8" x14ac:dyDescent="0.25">
      <c r="A1025" s="1">
        <v>18</v>
      </c>
      <c r="B1025" t="s">
        <v>8</v>
      </c>
      <c r="C1025" s="2">
        <v>23.3</v>
      </c>
      <c r="D1025" s="1">
        <v>1</v>
      </c>
      <c r="E1025" t="s">
        <v>10</v>
      </c>
      <c r="F1025" t="s">
        <v>12</v>
      </c>
      <c r="G1025" s="3">
        <v>1711.03</v>
      </c>
      <c r="H1025" t="str" cm="1">
        <f t="array" ref="H1025">_xlfn.IFS(A1025&lt;13, "Child", A1025&lt;20, "Teenager", A1025&lt;40, "Young Adult", A1025&lt;60, "Senior Adult", A1025&gt;=60, "Elderly")</f>
        <v>Teenager</v>
      </c>
    </row>
    <row r="1026" spans="1:8" x14ac:dyDescent="0.25">
      <c r="A1026" s="1">
        <v>47</v>
      </c>
      <c r="B1026" t="s">
        <v>7</v>
      </c>
      <c r="C1026" s="2">
        <v>45.3</v>
      </c>
      <c r="D1026" s="1">
        <v>1</v>
      </c>
      <c r="E1026" t="s">
        <v>10</v>
      </c>
      <c r="F1026" t="s">
        <v>12</v>
      </c>
      <c r="G1026" s="3">
        <v>8569.86</v>
      </c>
      <c r="H1026" t="str" cm="1">
        <f t="array" ref="H1026">_xlfn.IFS(A1026&lt;13, "Child", A1026&lt;20, "Teenager", A1026&lt;40, "Young Adult", A1026&lt;60, "Senior Adult", A1026&gt;=60, "Elderly")</f>
        <v>Senior Adult</v>
      </c>
    </row>
    <row r="1027" spans="1:8" x14ac:dyDescent="0.25">
      <c r="A1027" s="1">
        <v>21</v>
      </c>
      <c r="B1027" t="s">
        <v>7</v>
      </c>
      <c r="C1027" s="2">
        <v>34.6</v>
      </c>
      <c r="D1027" s="1">
        <v>0</v>
      </c>
      <c r="E1027" t="s">
        <v>10</v>
      </c>
      <c r="F1027" t="s">
        <v>11</v>
      </c>
      <c r="G1027" s="3">
        <v>2020.18</v>
      </c>
      <c r="H1027" t="str" cm="1">
        <f t="array" ref="H1027">_xlfn.IFS(A1027&lt;13, "Child", A1027&lt;20, "Teenager", A1027&lt;40, "Young Adult", A1027&lt;60, "Senior Adult", A1027&gt;=60, "Elderly")</f>
        <v>Young Adult</v>
      </c>
    </row>
    <row r="1028" spans="1:8" x14ac:dyDescent="0.25">
      <c r="A1028" s="1">
        <v>19</v>
      </c>
      <c r="B1028" t="s">
        <v>8</v>
      </c>
      <c r="C1028" s="2">
        <v>26</v>
      </c>
      <c r="D1028" s="1">
        <v>1</v>
      </c>
      <c r="E1028" t="s">
        <v>9</v>
      </c>
      <c r="F1028" t="s">
        <v>13</v>
      </c>
      <c r="G1028" s="3">
        <v>16450.89</v>
      </c>
      <c r="H1028" t="str" cm="1">
        <f t="array" ref="H1028">_xlfn.IFS(A1028&lt;13, "Child", A1028&lt;20, "Teenager", A1028&lt;40, "Young Adult", A1028&lt;60, "Senior Adult", A1028&gt;=60, "Elderly")</f>
        <v>Teenager</v>
      </c>
    </row>
    <row r="1029" spans="1:8" x14ac:dyDescent="0.25">
      <c r="A1029" s="1">
        <v>23</v>
      </c>
      <c r="B1029" t="s">
        <v>8</v>
      </c>
      <c r="C1029" s="2">
        <v>18.7</v>
      </c>
      <c r="D1029" s="1">
        <v>0</v>
      </c>
      <c r="E1029" t="s">
        <v>10</v>
      </c>
      <c r="F1029" t="s">
        <v>13</v>
      </c>
      <c r="G1029" s="3">
        <v>21595.38</v>
      </c>
      <c r="H1029" t="str" cm="1">
        <f t="array" ref="H1029">_xlfn.IFS(A1029&lt;13, "Child", A1029&lt;20, "Teenager", A1029&lt;40, "Young Adult", A1029&lt;60, "Senior Adult", A1029&gt;=60, "Elderly")</f>
        <v>Young Adult</v>
      </c>
    </row>
    <row r="1030" spans="1:8" x14ac:dyDescent="0.25">
      <c r="A1030" s="1">
        <v>54</v>
      </c>
      <c r="B1030" t="s">
        <v>8</v>
      </c>
      <c r="C1030" s="2">
        <v>31.6</v>
      </c>
      <c r="D1030" s="1">
        <v>0</v>
      </c>
      <c r="E1030" t="s">
        <v>10</v>
      </c>
      <c r="F1030" t="s">
        <v>11</v>
      </c>
      <c r="G1030" s="3">
        <v>9850.43</v>
      </c>
      <c r="H1030" t="str" cm="1">
        <f t="array" ref="H1030">_xlfn.IFS(A1030&lt;13, "Child", A1030&lt;20, "Teenager", A1030&lt;40, "Young Adult", A1030&lt;60, "Senior Adult", A1030&gt;=60, "Elderly")</f>
        <v>Senior Adult</v>
      </c>
    </row>
    <row r="1031" spans="1:8" x14ac:dyDescent="0.25">
      <c r="A1031" s="1">
        <v>37</v>
      </c>
      <c r="B1031" t="s">
        <v>7</v>
      </c>
      <c r="C1031" s="2">
        <v>17.3</v>
      </c>
      <c r="D1031" s="1">
        <v>2</v>
      </c>
      <c r="E1031" t="s">
        <v>10</v>
      </c>
      <c r="F1031" t="s">
        <v>14</v>
      </c>
      <c r="G1031" s="3">
        <v>6877.98</v>
      </c>
      <c r="H1031" t="str" cm="1">
        <f t="array" ref="H1031">_xlfn.IFS(A1031&lt;13, "Child", A1031&lt;20, "Teenager", A1031&lt;40, "Young Adult", A1031&lt;60, "Senior Adult", A1031&gt;=60, "Elderly")</f>
        <v>Young Adult</v>
      </c>
    </row>
    <row r="1032" spans="1:8" x14ac:dyDescent="0.25">
      <c r="A1032" s="1">
        <v>46</v>
      </c>
      <c r="B1032" t="s">
        <v>7</v>
      </c>
      <c r="C1032" s="2">
        <v>23.7</v>
      </c>
      <c r="D1032" s="1">
        <v>1</v>
      </c>
      <c r="E1032" t="s">
        <v>9</v>
      </c>
      <c r="F1032" t="s">
        <v>13</v>
      </c>
      <c r="G1032" s="3">
        <v>21677.279999999999</v>
      </c>
      <c r="H1032" t="str" cm="1">
        <f t="array" ref="H1032">_xlfn.IFS(A1032&lt;13, "Child", A1032&lt;20, "Teenager", A1032&lt;40, "Young Adult", A1032&lt;60, "Senior Adult", A1032&gt;=60, "Elderly")</f>
        <v>Senior Adult</v>
      </c>
    </row>
    <row r="1033" spans="1:8" x14ac:dyDescent="0.25">
      <c r="A1033" s="1">
        <v>55</v>
      </c>
      <c r="B1033" t="s">
        <v>7</v>
      </c>
      <c r="C1033" s="2">
        <v>35.200000000000003</v>
      </c>
      <c r="D1033" s="1">
        <v>0</v>
      </c>
      <c r="E1033" t="s">
        <v>9</v>
      </c>
      <c r="F1033" t="s">
        <v>12</v>
      </c>
      <c r="G1033" s="3">
        <v>44423.8</v>
      </c>
      <c r="H1033" t="str" cm="1">
        <f t="array" ref="H1033">_xlfn.IFS(A1033&lt;13, "Child", A1033&lt;20, "Teenager", A1033&lt;40, "Young Adult", A1033&lt;60, "Senior Adult", A1033&gt;=60, "Elderly")</f>
        <v>Senior Adult</v>
      </c>
    </row>
    <row r="1034" spans="1:8" x14ac:dyDescent="0.25">
      <c r="A1034" s="1">
        <v>30</v>
      </c>
      <c r="B1034" t="s">
        <v>7</v>
      </c>
      <c r="C1034" s="2">
        <v>27.9</v>
      </c>
      <c r="D1034" s="1">
        <v>0</v>
      </c>
      <c r="E1034" t="s">
        <v>10</v>
      </c>
      <c r="F1034" t="s">
        <v>14</v>
      </c>
      <c r="G1034" s="3">
        <v>4137.5200000000004</v>
      </c>
      <c r="H1034" t="str" cm="1">
        <f t="array" ref="H1034">_xlfn.IFS(A1034&lt;13, "Child", A1034&lt;20, "Teenager", A1034&lt;40, "Young Adult", A1034&lt;60, "Senior Adult", A1034&gt;=60, "Elderly")</f>
        <v>Young Adult</v>
      </c>
    </row>
    <row r="1035" spans="1:8" x14ac:dyDescent="0.25">
      <c r="A1035" s="1">
        <v>18</v>
      </c>
      <c r="B1035" t="s">
        <v>8</v>
      </c>
      <c r="C1035" s="2">
        <v>21.6</v>
      </c>
      <c r="D1035" s="1">
        <v>0</v>
      </c>
      <c r="E1035" t="s">
        <v>9</v>
      </c>
      <c r="F1035" t="s">
        <v>14</v>
      </c>
      <c r="G1035" s="3">
        <v>13747.87</v>
      </c>
      <c r="H1035" t="str" cm="1">
        <f t="array" ref="H1035">_xlfn.IFS(A1035&lt;13, "Child", A1035&lt;20, "Teenager", A1035&lt;40, "Young Adult", A1035&lt;60, "Senior Adult", A1035&gt;=60, "Elderly")</f>
        <v>Teenager</v>
      </c>
    </row>
    <row r="1036" spans="1:8" x14ac:dyDescent="0.25">
      <c r="A1036" s="1">
        <v>61</v>
      </c>
      <c r="B1036" t="s">
        <v>8</v>
      </c>
      <c r="C1036" s="2">
        <v>38.4</v>
      </c>
      <c r="D1036" s="1">
        <v>0</v>
      </c>
      <c r="E1036" t="s">
        <v>10</v>
      </c>
      <c r="F1036" t="s">
        <v>13</v>
      </c>
      <c r="G1036" s="3">
        <v>12950.07</v>
      </c>
      <c r="H1036" t="str" cm="1">
        <f t="array" ref="H1036">_xlfn.IFS(A1036&lt;13, "Child", A1036&lt;20, "Teenager", A1036&lt;40, "Young Adult", A1036&lt;60, "Senior Adult", A1036&gt;=60, "Elderly")</f>
        <v>Elderly</v>
      </c>
    </row>
    <row r="1037" spans="1:8" x14ac:dyDescent="0.25">
      <c r="A1037" s="1">
        <v>54</v>
      </c>
      <c r="B1037" t="s">
        <v>7</v>
      </c>
      <c r="C1037" s="2">
        <v>23</v>
      </c>
      <c r="D1037" s="1">
        <v>3</v>
      </c>
      <c r="E1037" t="s">
        <v>10</v>
      </c>
      <c r="F1037" t="s">
        <v>11</v>
      </c>
      <c r="G1037" s="3">
        <v>12094.48</v>
      </c>
      <c r="H1037" t="str" cm="1">
        <f t="array" ref="H1037">_xlfn.IFS(A1037&lt;13, "Child", A1037&lt;20, "Teenager", A1037&lt;40, "Young Adult", A1037&lt;60, "Senior Adult", A1037&gt;=60, "Elderly")</f>
        <v>Senior Adult</v>
      </c>
    </row>
    <row r="1038" spans="1:8" x14ac:dyDescent="0.25">
      <c r="A1038" s="1">
        <v>22</v>
      </c>
      <c r="B1038" t="s">
        <v>8</v>
      </c>
      <c r="C1038" s="2">
        <v>37.1</v>
      </c>
      <c r="D1038" s="1">
        <v>2</v>
      </c>
      <c r="E1038" t="s">
        <v>9</v>
      </c>
      <c r="F1038" t="s">
        <v>12</v>
      </c>
      <c r="G1038" s="3">
        <v>37484.449999999997</v>
      </c>
      <c r="H1038" t="str" cm="1">
        <f t="array" ref="H1038">_xlfn.IFS(A1038&lt;13, "Child", A1038&lt;20, "Teenager", A1038&lt;40, "Young Adult", A1038&lt;60, "Senior Adult", A1038&gt;=60, "Elderly")</f>
        <v>Young Adult</v>
      </c>
    </row>
    <row r="1039" spans="1:8" x14ac:dyDescent="0.25">
      <c r="A1039" s="1">
        <v>45</v>
      </c>
      <c r="B1039" t="s">
        <v>7</v>
      </c>
      <c r="C1039" s="2">
        <v>30.5</v>
      </c>
      <c r="D1039" s="1">
        <v>1</v>
      </c>
      <c r="E1039" t="s">
        <v>9</v>
      </c>
      <c r="F1039" t="s">
        <v>13</v>
      </c>
      <c r="G1039" s="3">
        <v>39725.519999999997</v>
      </c>
      <c r="H1039" t="str" cm="1">
        <f t="array" ref="H1039">_xlfn.IFS(A1039&lt;13, "Child", A1039&lt;20, "Teenager", A1039&lt;40, "Young Adult", A1039&lt;60, "Senior Adult", A1039&gt;=60, "Elderly")</f>
        <v>Senior Adult</v>
      </c>
    </row>
    <row r="1040" spans="1:8" x14ac:dyDescent="0.25">
      <c r="A1040" s="1">
        <v>22</v>
      </c>
      <c r="B1040" t="s">
        <v>8</v>
      </c>
      <c r="C1040" s="2">
        <v>28.9</v>
      </c>
      <c r="D1040" s="1">
        <v>0</v>
      </c>
      <c r="E1040" t="s">
        <v>10</v>
      </c>
      <c r="F1040" t="s">
        <v>14</v>
      </c>
      <c r="G1040" s="3">
        <v>2250.84</v>
      </c>
      <c r="H1040" t="str" cm="1">
        <f t="array" ref="H1040">_xlfn.IFS(A1040&lt;13, "Child", A1040&lt;20, "Teenager", A1040&lt;40, "Young Adult", A1040&lt;60, "Senior Adult", A1040&gt;=60, "Elderly")</f>
        <v>Young Adult</v>
      </c>
    </row>
    <row r="1041" spans="1:8" x14ac:dyDescent="0.25">
      <c r="A1041" s="1">
        <v>19</v>
      </c>
      <c r="B1041" t="s">
        <v>8</v>
      </c>
      <c r="C1041" s="2">
        <v>27.3</v>
      </c>
      <c r="D1041" s="1">
        <v>2</v>
      </c>
      <c r="E1041" t="s">
        <v>10</v>
      </c>
      <c r="F1041" t="s">
        <v>13</v>
      </c>
      <c r="G1041" s="3">
        <v>22493.66</v>
      </c>
      <c r="H1041" t="str" cm="1">
        <f t="array" ref="H1041">_xlfn.IFS(A1041&lt;13, "Child", A1041&lt;20, "Teenager", A1041&lt;40, "Young Adult", A1041&lt;60, "Senior Adult", A1041&gt;=60, "Elderly")</f>
        <v>Teenager</v>
      </c>
    </row>
    <row r="1042" spans="1:8" x14ac:dyDescent="0.25">
      <c r="A1042" s="1">
        <v>35</v>
      </c>
      <c r="B1042" t="s">
        <v>7</v>
      </c>
      <c r="C1042" s="2">
        <v>28</v>
      </c>
      <c r="D1042" s="1">
        <v>0</v>
      </c>
      <c r="E1042" t="s">
        <v>9</v>
      </c>
      <c r="F1042" t="s">
        <v>13</v>
      </c>
      <c r="G1042" s="3">
        <v>20234.849999999999</v>
      </c>
      <c r="H1042" t="str" cm="1">
        <f t="array" ref="H1042">_xlfn.IFS(A1042&lt;13, "Child", A1042&lt;20, "Teenager", A1042&lt;40, "Young Adult", A1042&lt;60, "Senior Adult", A1042&gt;=60, "Elderly")</f>
        <v>Young Adult</v>
      </c>
    </row>
    <row r="1043" spans="1:8" x14ac:dyDescent="0.25">
      <c r="A1043" s="1">
        <v>18</v>
      </c>
      <c r="B1043" t="s">
        <v>8</v>
      </c>
      <c r="C1043" s="2">
        <v>23.1</v>
      </c>
      <c r="D1043" s="1">
        <v>0</v>
      </c>
      <c r="E1043" t="s">
        <v>10</v>
      </c>
      <c r="F1043" t="s">
        <v>14</v>
      </c>
      <c r="G1043" s="3">
        <v>1704.7</v>
      </c>
      <c r="H1043" t="str" cm="1">
        <f t="array" ref="H1043">_xlfn.IFS(A1043&lt;13, "Child", A1043&lt;20, "Teenager", A1043&lt;40, "Young Adult", A1043&lt;60, "Senior Adult", A1043&gt;=60, "Elderly")</f>
        <v>Teenager</v>
      </c>
    </row>
    <row r="1044" spans="1:8" x14ac:dyDescent="0.25">
      <c r="A1044" s="1">
        <v>20</v>
      </c>
      <c r="B1044" t="s">
        <v>8</v>
      </c>
      <c r="C1044" s="2">
        <v>30.7</v>
      </c>
      <c r="D1044" s="1">
        <v>0</v>
      </c>
      <c r="E1044" t="s">
        <v>9</v>
      </c>
      <c r="F1044" t="s">
        <v>14</v>
      </c>
      <c r="G1044" s="3">
        <v>33475.82</v>
      </c>
      <c r="H1044" t="str" cm="1">
        <f t="array" ref="H1044">_xlfn.IFS(A1044&lt;13, "Child", A1044&lt;20, "Teenager", A1044&lt;40, "Young Adult", A1044&lt;60, "Senior Adult", A1044&gt;=60, "Elderly")</f>
        <v>Young Adult</v>
      </c>
    </row>
    <row r="1045" spans="1:8" x14ac:dyDescent="0.25">
      <c r="A1045" s="1">
        <v>28</v>
      </c>
      <c r="B1045" t="s">
        <v>7</v>
      </c>
      <c r="C1045" s="2">
        <v>25.8</v>
      </c>
      <c r="D1045" s="1">
        <v>0</v>
      </c>
      <c r="E1045" t="s">
        <v>10</v>
      </c>
      <c r="F1045" t="s">
        <v>11</v>
      </c>
      <c r="G1045" s="3">
        <v>3161.45</v>
      </c>
      <c r="H1045" t="str" cm="1">
        <f t="array" ref="H1045">_xlfn.IFS(A1045&lt;13, "Child", A1045&lt;20, "Teenager", A1045&lt;40, "Young Adult", A1045&lt;60, "Senior Adult", A1045&gt;=60, "Elderly")</f>
        <v>Young Adult</v>
      </c>
    </row>
    <row r="1046" spans="1:8" x14ac:dyDescent="0.25">
      <c r="A1046" s="1">
        <v>55</v>
      </c>
      <c r="B1046" t="s">
        <v>8</v>
      </c>
      <c r="C1046" s="2">
        <v>35.200000000000003</v>
      </c>
      <c r="D1046" s="1">
        <v>1</v>
      </c>
      <c r="E1046" t="s">
        <v>10</v>
      </c>
      <c r="F1046" t="s">
        <v>14</v>
      </c>
      <c r="G1046" s="3">
        <v>11394.07</v>
      </c>
      <c r="H1046" t="str" cm="1">
        <f t="array" ref="H1046">_xlfn.IFS(A1046&lt;13, "Child", A1046&lt;20, "Teenager", A1046&lt;40, "Young Adult", A1046&lt;60, "Senior Adult", A1046&gt;=60, "Elderly")</f>
        <v>Senior Adult</v>
      </c>
    </row>
    <row r="1047" spans="1:8" x14ac:dyDescent="0.25">
      <c r="A1047" s="1">
        <v>43</v>
      </c>
      <c r="B1047" t="s">
        <v>7</v>
      </c>
      <c r="C1047" s="2">
        <v>24.7</v>
      </c>
      <c r="D1047" s="1">
        <v>2</v>
      </c>
      <c r="E1047" t="s">
        <v>9</v>
      </c>
      <c r="F1047" t="s">
        <v>13</v>
      </c>
      <c r="G1047" s="3">
        <v>21880.82</v>
      </c>
      <c r="H1047" t="str" cm="1">
        <f t="array" ref="H1047">_xlfn.IFS(A1047&lt;13, "Child", A1047&lt;20, "Teenager", A1047&lt;40, "Young Adult", A1047&lt;60, "Senior Adult", A1047&gt;=60, "Elderly")</f>
        <v>Senior Adult</v>
      </c>
    </row>
    <row r="1048" spans="1:8" x14ac:dyDescent="0.25">
      <c r="A1048" s="1">
        <v>43</v>
      </c>
      <c r="B1048" t="s">
        <v>7</v>
      </c>
      <c r="C1048" s="2">
        <v>25.1</v>
      </c>
      <c r="D1048" s="1">
        <v>0</v>
      </c>
      <c r="E1048" t="s">
        <v>10</v>
      </c>
      <c r="F1048" t="s">
        <v>14</v>
      </c>
      <c r="G1048" s="3">
        <v>7325.05</v>
      </c>
      <c r="H1048" t="str" cm="1">
        <f t="array" ref="H1048">_xlfn.IFS(A1048&lt;13, "Child", A1048&lt;20, "Teenager", A1048&lt;40, "Young Adult", A1048&lt;60, "Senior Adult", A1048&gt;=60, "Elderly")</f>
        <v>Senior Adult</v>
      </c>
    </row>
    <row r="1049" spans="1:8" x14ac:dyDescent="0.25">
      <c r="A1049" s="1">
        <v>22</v>
      </c>
      <c r="B1049" t="s">
        <v>8</v>
      </c>
      <c r="C1049" s="2">
        <v>52.6</v>
      </c>
      <c r="D1049" s="1">
        <v>1</v>
      </c>
      <c r="E1049" t="s">
        <v>9</v>
      </c>
      <c r="F1049" t="s">
        <v>12</v>
      </c>
      <c r="G1049" s="3">
        <v>44501.4</v>
      </c>
      <c r="H1049" t="str" cm="1">
        <f t="array" ref="H1049">_xlfn.IFS(A1049&lt;13, "Child", A1049&lt;20, "Teenager", A1049&lt;40, "Young Adult", A1049&lt;60, "Senior Adult", A1049&gt;=60, "Elderly")</f>
        <v>Young Adult</v>
      </c>
    </row>
    <row r="1050" spans="1:8" x14ac:dyDescent="0.25">
      <c r="A1050" s="1">
        <v>25</v>
      </c>
      <c r="B1050" t="s">
        <v>7</v>
      </c>
      <c r="C1050" s="2">
        <v>22.5</v>
      </c>
      <c r="D1050" s="1">
        <v>1</v>
      </c>
      <c r="E1050" t="s">
        <v>10</v>
      </c>
      <c r="F1050" t="s">
        <v>13</v>
      </c>
      <c r="G1050" s="3">
        <v>3594.17</v>
      </c>
      <c r="H1050" t="str" cm="1">
        <f t="array" ref="H1050">_xlfn.IFS(A1050&lt;13, "Child", A1050&lt;20, "Teenager", A1050&lt;40, "Young Adult", A1050&lt;60, "Senior Adult", A1050&gt;=60, "Elderly")</f>
        <v>Young Adult</v>
      </c>
    </row>
    <row r="1051" spans="1:8" x14ac:dyDescent="0.25">
      <c r="A1051" s="1">
        <v>49</v>
      </c>
      <c r="B1051" t="s">
        <v>8</v>
      </c>
      <c r="C1051" s="2">
        <v>30.9</v>
      </c>
      <c r="D1051" s="1">
        <v>0</v>
      </c>
      <c r="E1051" t="s">
        <v>9</v>
      </c>
      <c r="F1051" t="s">
        <v>11</v>
      </c>
      <c r="G1051" s="3">
        <v>39727.61</v>
      </c>
      <c r="H1051" t="str" cm="1">
        <f t="array" ref="H1051">_xlfn.IFS(A1051&lt;13, "Child", A1051&lt;20, "Teenager", A1051&lt;40, "Young Adult", A1051&lt;60, "Senior Adult", A1051&gt;=60, "Elderly")</f>
        <v>Senior Adult</v>
      </c>
    </row>
    <row r="1052" spans="1:8" x14ac:dyDescent="0.25">
      <c r="A1052" s="1">
        <v>44</v>
      </c>
      <c r="B1052" t="s">
        <v>7</v>
      </c>
      <c r="C1052" s="2">
        <v>37</v>
      </c>
      <c r="D1052" s="1">
        <v>1</v>
      </c>
      <c r="E1052" t="s">
        <v>10</v>
      </c>
      <c r="F1052" t="s">
        <v>13</v>
      </c>
      <c r="G1052" s="3">
        <v>8023.14</v>
      </c>
      <c r="H1052" t="str" cm="1">
        <f t="array" ref="H1052">_xlfn.IFS(A1052&lt;13, "Child", A1052&lt;20, "Teenager", A1052&lt;40, "Young Adult", A1052&lt;60, "Senior Adult", A1052&gt;=60, "Elderly")</f>
        <v>Senior Adult</v>
      </c>
    </row>
    <row r="1053" spans="1:8" x14ac:dyDescent="0.25">
      <c r="A1053" s="1">
        <v>64</v>
      </c>
      <c r="B1053" t="s">
        <v>8</v>
      </c>
      <c r="C1053" s="2">
        <v>26.4</v>
      </c>
      <c r="D1053" s="1">
        <v>0</v>
      </c>
      <c r="E1053" t="s">
        <v>10</v>
      </c>
      <c r="F1053" t="s">
        <v>14</v>
      </c>
      <c r="G1053" s="3">
        <v>14394.56</v>
      </c>
      <c r="H1053" t="str" cm="1">
        <f t="array" ref="H1053">_xlfn.IFS(A1053&lt;13, "Child", A1053&lt;20, "Teenager", A1053&lt;40, "Young Adult", A1053&lt;60, "Senior Adult", A1053&gt;=60, "Elderly")</f>
        <v>Elderly</v>
      </c>
    </row>
    <row r="1054" spans="1:8" x14ac:dyDescent="0.25">
      <c r="A1054" s="1">
        <v>49</v>
      </c>
      <c r="B1054" t="s">
        <v>8</v>
      </c>
      <c r="C1054" s="2">
        <v>29.8</v>
      </c>
      <c r="D1054" s="1">
        <v>1</v>
      </c>
      <c r="E1054" t="s">
        <v>10</v>
      </c>
      <c r="F1054" t="s">
        <v>14</v>
      </c>
      <c r="G1054" s="3">
        <v>9288.0300000000007</v>
      </c>
      <c r="H1054" t="str" cm="1">
        <f t="array" ref="H1054">_xlfn.IFS(A1054&lt;13, "Child", A1054&lt;20, "Teenager", A1054&lt;40, "Young Adult", A1054&lt;60, "Senior Adult", A1054&gt;=60, "Elderly")</f>
        <v>Senior Adult</v>
      </c>
    </row>
    <row r="1055" spans="1:8" x14ac:dyDescent="0.25">
      <c r="A1055" s="1">
        <v>47</v>
      </c>
      <c r="B1055" t="s">
        <v>8</v>
      </c>
      <c r="C1055" s="2">
        <v>29.8</v>
      </c>
      <c r="D1055" s="1">
        <v>3</v>
      </c>
      <c r="E1055" t="s">
        <v>9</v>
      </c>
      <c r="F1055" t="s">
        <v>11</v>
      </c>
      <c r="G1055" s="3">
        <v>25309.49</v>
      </c>
      <c r="H1055" t="str" cm="1">
        <f t="array" ref="H1055">_xlfn.IFS(A1055&lt;13, "Child", A1055&lt;20, "Teenager", A1055&lt;40, "Young Adult", A1055&lt;60, "Senior Adult", A1055&gt;=60, "Elderly")</f>
        <v>Senior Adult</v>
      </c>
    </row>
    <row r="1056" spans="1:8" x14ac:dyDescent="0.25">
      <c r="A1056" s="1">
        <v>27</v>
      </c>
      <c r="B1056" t="s">
        <v>7</v>
      </c>
      <c r="C1056" s="2">
        <v>21.5</v>
      </c>
      <c r="D1056" s="1">
        <v>0</v>
      </c>
      <c r="E1056" t="s">
        <v>10</v>
      </c>
      <c r="F1056" t="s">
        <v>13</v>
      </c>
      <c r="G1056" s="3">
        <v>3353.47</v>
      </c>
      <c r="H1056" t="str" cm="1">
        <f t="array" ref="H1056">_xlfn.IFS(A1056&lt;13, "Child", A1056&lt;20, "Teenager", A1056&lt;40, "Young Adult", A1056&lt;60, "Senior Adult", A1056&gt;=60, "Elderly")</f>
        <v>Young Adult</v>
      </c>
    </row>
    <row r="1057" spans="1:8" x14ac:dyDescent="0.25">
      <c r="A1057" s="1">
        <v>55</v>
      </c>
      <c r="B1057" t="s">
        <v>8</v>
      </c>
      <c r="C1057" s="2">
        <v>27.6</v>
      </c>
      <c r="D1057" s="1">
        <v>0</v>
      </c>
      <c r="E1057" t="s">
        <v>10</v>
      </c>
      <c r="F1057" t="s">
        <v>13</v>
      </c>
      <c r="G1057" s="3">
        <v>10594.5</v>
      </c>
      <c r="H1057" t="str" cm="1">
        <f t="array" ref="H1057">_xlfn.IFS(A1057&lt;13, "Child", A1057&lt;20, "Teenager", A1057&lt;40, "Young Adult", A1057&lt;60, "Senior Adult", A1057&gt;=60, "Elderly")</f>
        <v>Senior Adult</v>
      </c>
    </row>
    <row r="1058" spans="1:8" x14ac:dyDescent="0.25">
      <c r="A1058" s="1">
        <v>48</v>
      </c>
      <c r="B1058" t="s">
        <v>7</v>
      </c>
      <c r="C1058" s="2">
        <v>28.9</v>
      </c>
      <c r="D1058" s="1">
        <v>0</v>
      </c>
      <c r="E1058" t="s">
        <v>10</v>
      </c>
      <c r="F1058" t="s">
        <v>11</v>
      </c>
      <c r="G1058" s="3">
        <v>8277.52</v>
      </c>
      <c r="H1058" t="str" cm="1">
        <f t="array" ref="H1058">_xlfn.IFS(A1058&lt;13, "Child", A1058&lt;20, "Teenager", A1058&lt;40, "Young Adult", A1058&lt;60, "Senior Adult", A1058&gt;=60, "Elderly")</f>
        <v>Senior Adult</v>
      </c>
    </row>
    <row r="1059" spans="1:8" x14ac:dyDescent="0.25">
      <c r="A1059" s="1">
        <v>45</v>
      </c>
      <c r="B1059" t="s">
        <v>7</v>
      </c>
      <c r="C1059" s="2">
        <v>31.8</v>
      </c>
      <c r="D1059" s="1">
        <v>0</v>
      </c>
      <c r="E1059" t="s">
        <v>10</v>
      </c>
      <c r="F1059" t="s">
        <v>12</v>
      </c>
      <c r="G1059" s="3">
        <v>17929.3</v>
      </c>
      <c r="H1059" t="str" cm="1">
        <f t="array" ref="H1059">_xlfn.IFS(A1059&lt;13, "Child", A1059&lt;20, "Teenager", A1059&lt;40, "Young Adult", A1059&lt;60, "Senior Adult", A1059&gt;=60, "Elderly")</f>
        <v>Senior Adult</v>
      </c>
    </row>
    <row r="1060" spans="1:8" x14ac:dyDescent="0.25">
      <c r="A1060" s="1">
        <v>24</v>
      </c>
      <c r="B1060" t="s">
        <v>7</v>
      </c>
      <c r="C1060" s="2">
        <v>39.5</v>
      </c>
      <c r="D1060" s="1">
        <v>0</v>
      </c>
      <c r="E1060" t="s">
        <v>10</v>
      </c>
      <c r="F1060" t="s">
        <v>12</v>
      </c>
      <c r="G1060" s="3">
        <v>2480.98</v>
      </c>
      <c r="H1060" t="str" cm="1">
        <f t="array" ref="H1060">_xlfn.IFS(A1060&lt;13, "Child", A1060&lt;20, "Teenager", A1060&lt;40, "Young Adult", A1060&lt;60, "Senior Adult", A1060&gt;=60, "Elderly")</f>
        <v>Young Adult</v>
      </c>
    </row>
    <row r="1061" spans="1:8" x14ac:dyDescent="0.25">
      <c r="A1061" s="1">
        <v>32</v>
      </c>
      <c r="B1061" t="s">
        <v>8</v>
      </c>
      <c r="C1061" s="2">
        <v>33.799999999999997</v>
      </c>
      <c r="D1061" s="1">
        <v>1</v>
      </c>
      <c r="E1061" t="s">
        <v>10</v>
      </c>
      <c r="F1061" t="s">
        <v>13</v>
      </c>
      <c r="G1061" s="3">
        <v>4462.72</v>
      </c>
      <c r="H1061" t="str" cm="1">
        <f t="array" ref="H1061">_xlfn.IFS(A1061&lt;13, "Child", A1061&lt;20, "Teenager", A1061&lt;40, "Young Adult", A1061&lt;60, "Senior Adult", A1061&gt;=60, "Elderly")</f>
        <v>Young Adult</v>
      </c>
    </row>
    <row r="1062" spans="1:8" x14ac:dyDescent="0.25">
      <c r="A1062" s="1">
        <v>24</v>
      </c>
      <c r="B1062" t="s">
        <v>8</v>
      </c>
      <c r="C1062" s="2">
        <v>32</v>
      </c>
      <c r="D1062" s="1">
        <v>0</v>
      </c>
      <c r="E1062" t="s">
        <v>10</v>
      </c>
      <c r="F1062" t="s">
        <v>12</v>
      </c>
      <c r="G1062" s="3">
        <v>1981.58</v>
      </c>
      <c r="H1062" t="str" cm="1">
        <f t="array" ref="H1062">_xlfn.IFS(A1062&lt;13, "Child", A1062&lt;20, "Teenager", A1062&lt;40, "Young Adult", A1062&lt;60, "Senior Adult", A1062&gt;=60, "Elderly")</f>
        <v>Young Adult</v>
      </c>
    </row>
    <row r="1063" spans="1:8" x14ac:dyDescent="0.25">
      <c r="A1063" s="1">
        <v>57</v>
      </c>
      <c r="B1063" t="s">
        <v>8</v>
      </c>
      <c r="C1063" s="2">
        <v>27.9</v>
      </c>
      <c r="D1063" s="1">
        <v>1</v>
      </c>
      <c r="E1063" t="s">
        <v>10</v>
      </c>
      <c r="F1063" t="s">
        <v>12</v>
      </c>
      <c r="G1063" s="3">
        <v>11554.22</v>
      </c>
      <c r="H1063" t="str" cm="1">
        <f t="array" ref="H1063">_xlfn.IFS(A1063&lt;13, "Child", A1063&lt;20, "Teenager", A1063&lt;40, "Young Adult", A1063&lt;60, "Senior Adult", A1063&gt;=60, "Elderly")</f>
        <v>Senior Adult</v>
      </c>
    </row>
    <row r="1064" spans="1:8" x14ac:dyDescent="0.25">
      <c r="A1064" s="1">
        <v>59</v>
      </c>
      <c r="B1064" t="s">
        <v>8</v>
      </c>
      <c r="C1064" s="2">
        <v>41.1</v>
      </c>
      <c r="D1064" s="1">
        <v>1</v>
      </c>
      <c r="E1064" t="s">
        <v>9</v>
      </c>
      <c r="F1064" t="s">
        <v>12</v>
      </c>
      <c r="G1064" s="3">
        <v>48970.25</v>
      </c>
      <c r="H1064" t="str" cm="1">
        <f t="array" ref="H1064">_xlfn.IFS(A1064&lt;13, "Child", A1064&lt;20, "Teenager", A1064&lt;40, "Young Adult", A1064&lt;60, "Senior Adult", A1064&gt;=60, "Elderly")</f>
        <v>Senior Adult</v>
      </c>
    </row>
    <row r="1065" spans="1:8" x14ac:dyDescent="0.25">
      <c r="A1065" s="1">
        <v>36</v>
      </c>
      <c r="B1065" t="s">
        <v>8</v>
      </c>
      <c r="C1065" s="2">
        <v>28.6</v>
      </c>
      <c r="D1065" s="1">
        <v>3</v>
      </c>
      <c r="E1065" t="s">
        <v>10</v>
      </c>
      <c r="F1065" t="s">
        <v>13</v>
      </c>
      <c r="G1065" s="3">
        <v>6548.2</v>
      </c>
      <c r="H1065" t="str" cm="1">
        <f t="array" ref="H1065">_xlfn.IFS(A1065&lt;13, "Child", A1065&lt;20, "Teenager", A1065&lt;40, "Young Adult", A1065&lt;60, "Senior Adult", A1065&gt;=60, "Elderly")</f>
        <v>Young Adult</v>
      </c>
    </row>
    <row r="1066" spans="1:8" x14ac:dyDescent="0.25">
      <c r="A1066" s="1">
        <v>29</v>
      </c>
      <c r="B1066" t="s">
        <v>7</v>
      </c>
      <c r="C1066" s="2">
        <v>25.6</v>
      </c>
      <c r="D1066" s="1">
        <v>4</v>
      </c>
      <c r="E1066" t="s">
        <v>10</v>
      </c>
      <c r="F1066" t="s">
        <v>11</v>
      </c>
      <c r="G1066" s="3">
        <v>5708.87</v>
      </c>
      <c r="H1066" t="str" cm="1">
        <f t="array" ref="H1066">_xlfn.IFS(A1066&lt;13, "Child", A1066&lt;20, "Teenager", A1066&lt;40, "Young Adult", A1066&lt;60, "Senior Adult", A1066&gt;=60, "Elderly")</f>
        <v>Young Adult</v>
      </c>
    </row>
    <row r="1067" spans="1:8" x14ac:dyDescent="0.25">
      <c r="A1067" s="1">
        <v>42</v>
      </c>
      <c r="B1067" t="s">
        <v>7</v>
      </c>
      <c r="C1067" s="2">
        <v>25.3</v>
      </c>
      <c r="D1067" s="1">
        <v>1</v>
      </c>
      <c r="E1067" t="s">
        <v>10</v>
      </c>
      <c r="F1067" t="s">
        <v>11</v>
      </c>
      <c r="G1067" s="3">
        <v>7045.5</v>
      </c>
      <c r="H1067" t="str" cm="1">
        <f t="array" ref="H1067">_xlfn.IFS(A1067&lt;13, "Child", A1067&lt;20, "Teenager", A1067&lt;40, "Young Adult", A1067&lt;60, "Senior Adult", A1067&gt;=60, "Elderly")</f>
        <v>Senior Adult</v>
      </c>
    </row>
    <row r="1068" spans="1:8" x14ac:dyDescent="0.25">
      <c r="A1068" s="1">
        <v>48</v>
      </c>
      <c r="B1068" t="s">
        <v>8</v>
      </c>
      <c r="C1068" s="2">
        <v>37.299999999999997</v>
      </c>
      <c r="D1068" s="1">
        <v>2</v>
      </c>
      <c r="E1068" t="s">
        <v>10</v>
      </c>
      <c r="F1068" t="s">
        <v>12</v>
      </c>
      <c r="G1068" s="3">
        <v>8978.19</v>
      </c>
      <c r="H1068" t="str" cm="1">
        <f t="array" ref="H1068">_xlfn.IFS(A1068&lt;13, "Child", A1068&lt;20, "Teenager", A1068&lt;40, "Young Adult", A1068&lt;60, "Senior Adult", A1068&gt;=60, "Elderly")</f>
        <v>Senior Adult</v>
      </c>
    </row>
    <row r="1069" spans="1:8" x14ac:dyDescent="0.25">
      <c r="A1069" s="1">
        <v>39</v>
      </c>
      <c r="B1069" t="s">
        <v>8</v>
      </c>
      <c r="C1069" s="2">
        <v>42.7</v>
      </c>
      <c r="D1069" s="1">
        <v>0</v>
      </c>
      <c r="E1069" t="s">
        <v>10</v>
      </c>
      <c r="F1069" t="s">
        <v>14</v>
      </c>
      <c r="G1069" s="3">
        <v>5757.41</v>
      </c>
      <c r="H1069" t="str" cm="1">
        <f t="array" ref="H1069">_xlfn.IFS(A1069&lt;13, "Child", A1069&lt;20, "Teenager", A1069&lt;40, "Young Adult", A1069&lt;60, "Senior Adult", A1069&gt;=60, "Elderly")</f>
        <v>Young Adult</v>
      </c>
    </row>
    <row r="1070" spans="1:8" x14ac:dyDescent="0.25">
      <c r="A1070" s="1">
        <v>63</v>
      </c>
      <c r="B1070" t="s">
        <v>8</v>
      </c>
      <c r="C1070" s="2">
        <v>21.7</v>
      </c>
      <c r="D1070" s="1">
        <v>1</v>
      </c>
      <c r="E1070" t="s">
        <v>10</v>
      </c>
      <c r="F1070" t="s">
        <v>13</v>
      </c>
      <c r="G1070" s="3">
        <v>14349.85</v>
      </c>
      <c r="H1070" t="str" cm="1">
        <f t="array" ref="H1070">_xlfn.IFS(A1070&lt;13, "Child", A1070&lt;20, "Teenager", A1070&lt;40, "Young Adult", A1070&lt;60, "Senior Adult", A1070&gt;=60, "Elderly")</f>
        <v>Elderly</v>
      </c>
    </row>
    <row r="1071" spans="1:8" x14ac:dyDescent="0.25">
      <c r="A1071" s="1">
        <v>54</v>
      </c>
      <c r="B1071" t="s">
        <v>7</v>
      </c>
      <c r="C1071" s="2">
        <v>31.9</v>
      </c>
      <c r="D1071" s="1">
        <v>1</v>
      </c>
      <c r="E1071" t="s">
        <v>10</v>
      </c>
      <c r="F1071" t="s">
        <v>12</v>
      </c>
      <c r="G1071" s="3">
        <v>10928.85</v>
      </c>
      <c r="H1071" t="str" cm="1">
        <f t="array" ref="H1071">_xlfn.IFS(A1071&lt;13, "Child", A1071&lt;20, "Teenager", A1071&lt;40, "Young Adult", A1071&lt;60, "Senior Adult", A1071&gt;=60, "Elderly")</f>
        <v>Senior Adult</v>
      </c>
    </row>
    <row r="1072" spans="1:8" x14ac:dyDescent="0.25">
      <c r="A1072" s="1">
        <v>37</v>
      </c>
      <c r="B1072" t="s">
        <v>8</v>
      </c>
      <c r="C1072" s="2">
        <v>37.1</v>
      </c>
      <c r="D1072" s="1">
        <v>1</v>
      </c>
      <c r="E1072" t="s">
        <v>9</v>
      </c>
      <c r="F1072" t="s">
        <v>12</v>
      </c>
      <c r="G1072" s="3">
        <v>39871.699999999997</v>
      </c>
      <c r="H1072" t="str" cm="1">
        <f t="array" ref="H1072">_xlfn.IFS(A1072&lt;13, "Child", A1072&lt;20, "Teenager", A1072&lt;40, "Young Adult", A1072&lt;60, "Senior Adult", A1072&gt;=60, "Elderly")</f>
        <v>Young Adult</v>
      </c>
    </row>
    <row r="1073" spans="1:8" x14ac:dyDescent="0.25">
      <c r="A1073" s="1">
        <v>63</v>
      </c>
      <c r="B1073" t="s">
        <v>8</v>
      </c>
      <c r="C1073" s="2">
        <v>31.4</v>
      </c>
      <c r="D1073" s="1">
        <v>0</v>
      </c>
      <c r="E1073" t="s">
        <v>10</v>
      </c>
      <c r="F1073" t="s">
        <v>14</v>
      </c>
      <c r="G1073" s="3">
        <v>13974.46</v>
      </c>
      <c r="H1073" t="str" cm="1">
        <f t="array" ref="H1073">_xlfn.IFS(A1073&lt;13, "Child", A1073&lt;20, "Teenager", A1073&lt;40, "Young Adult", A1073&lt;60, "Senior Adult", A1073&gt;=60, "Elderly")</f>
        <v>Elderly</v>
      </c>
    </row>
    <row r="1074" spans="1:8" x14ac:dyDescent="0.25">
      <c r="A1074" s="1">
        <v>21</v>
      </c>
      <c r="B1074" t="s">
        <v>8</v>
      </c>
      <c r="C1074" s="2">
        <v>31.3</v>
      </c>
      <c r="D1074" s="1">
        <v>0</v>
      </c>
      <c r="E1074" t="s">
        <v>10</v>
      </c>
      <c r="F1074" t="s">
        <v>13</v>
      </c>
      <c r="G1074" s="3">
        <v>1909.53</v>
      </c>
      <c r="H1074" t="str" cm="1">
        <f t="array" ref="H1074">_xlfn.IFS(A1074&lt;13, "Child", A1074&lt;20, "Teenager", A1074&lt;40, "Young Adult", A1074&lt;60, "Senior Adult", A1074&gt;=60, "Elderly")</f>
        <v>Young Adult</v>
      </c>
    </row>
    <row r="1075" spans="1:8" x14ac:dyDescent="0.25">
      <c r="A1075" s="1">
        <v>54</v>
      </c>
      <c r="B1075" t="s">
        <v>7</v>
      </c>
      <c r="C1075" s="2">
        <v>28.9</v>
      </c>
      <c r="D1075" s="1">
        <v>2</v>
      </c>
      <c r="E1075" t="s">
        <v>10</v>
      </c>
      <c r="F1075" t="s">
        <v>14</v>
      </c>
      <c r="G1075" s="3">
        <v>12096.65</v>
      </c>
      <c r="H1075" t="str" cm="1">
        <f t="array" ref="H1075">_xlfn.IFS(A1075&lt;13, "Child", A1075&lt;20, "Teenager", A1075&lt;40, "Young Adult", A1075&lt;60, "Senior Adult", A1075&gt;=60, "Elderly")</f>
        <v>Senior Adult</v>
      </c>
    </row>
    <row r="1076" spans="1:8" x14ac:dyDescent="0.25">
      <c r="A1076" s="1">
        <v>60</v>
      </c>
      <c r="B1076" t="s">
        <v>7</v>
      </c>
      <c r="C1076" s="2">
        <v>18.3</v>
      </c>
      <c r="D1076" s="1">
        <v>0</v>
      </c>
      <c r="E1076" t="s">
        <v>10</v>
      </c>
      <c r="F1076" t="s">
        <v>14</v>
      </c>
      <c r="G1076" s="3">
        <v>13204.29</v>
      </c>
      <c r="H1076" t="str" cm="1">
        <f t="array" ref="H1076">_xlfn.IFS(A1076&lt;13, "Child", A1076&lt;20, "Teenager", A1076&lt;40, "Young Adult", A1076&lt;60, "Senior Adult", A1076&gt;=60, "Elderly")</f>
        <v>Elderly</v>
      </c>
    </row>
    <row r="1077" spans="1:8" x14ac:dyDescent="0.25">
      <c r="A1077" s="1">
        <v>32</v>
      </c>
      <c r="B1077" t="s">
        <v>7</v>
      </c>
      <c r="C1077" s="2">
        <v>29.6</v>
      </c>
      <c r="D1077" s="1">
        <v>1</v>
      </c>
      <c r="E1077" t="s">
        <v>10</v>
      </c>
      <c r="F1077" t="s">
        <v>12</v>
      </c>
      <c r="G1077" s="3">
        <v>4562.84</v>
      </c>
      <c r="H1077" t="str" cm="1">
        <f t="array" ref="H1077">_xlfn.IFS(A1077&lt;13, "Child", A1077&lt;20, "Teenager", A1077&lt;40, "Young Adult", A1077&lt;60, "Senior Adult", A1077&gt;=60, "Elderly")</f>
        <v>Young Adult</v>
      </c>
    </row>
    <row r="1078" spans="1:8" x14ac:dyDescent="0.25">
      <c r="A1078" s="1">
        <v>47</v>
      </c>
      <c r="B1078" t="s">
        <v>7</v>
      </c>
      <c r="C1078" s="2">
        <v>32</v>
      </c>
      <c r="D1078" s="1">
        <v>1</v>
      </c>
      <c r="E1078" t="s">
        <v>10</v>
      </c>
      <c r="F1078" t="s">
        <v>11</v>
      </c>
      <c r="G1078" s="3">
        <v>8551.35</v>
      </c>
      <c r="H1078" t="str" cm="1">
        <f t="array" ref="H1078">_xlfn.IFS(A1078&lt;13, "Child", A1078&lt;20, "Teenager", A1078&lt;40, "Young Adult", A1078&lt;60, "Senior Adult", A1078&gt;=60, "Elderly")</f>
        <v>Senior Adult</v>
      </c>
    </row>
    <row r="1079" spans="1:8" x14ac:dyDescent="0.25">
      <c r="A1079" s="1">
        <v>21</v>
      </c>
      <c r="B1079" t="s">
        <v>8</v>
      </c>
      <c r="C1079" s="2">
        <v>26</v>
      </c>
      <c r="D1079" s="1">
        <v>0</v>
      </c>
      <c r="E1079" t="s">
        <v>10</v>
      </c>
      <c r="F1079" t="s">
        <v>14</v>
      </c>
      <c r="G1079" s="3">
        <v>2102.2600000000002</v>
      </c>
      <c r="H1079" t="str" cm="1">
        <f t="array" ref="H1079">_xlfn.IFS(A1079&lt;13, "Child", A1079&lt;20, "Teenager", A1079&lt;40, "Young Adult", A1079&lt;60, "Senior Adult", A1079&gt;=60, "Elderly")</f>
        <v>Young Adult</v>
      </c>
    </row>
    <row r="1080" spans="1:8" x14ac:dyDescent="0.25">
      <c r="A1080" s="1">
        <v>28</v>
      </c>
      <c r="B1080" t="s">
        <v>8</v>
      </c>
      <c r="C1080" s="2">
        <v>31.7</v>
      </c>
      <c r="D1080" s="1">
        <v>0</v>
      </c>
      <c r="E1080" t="s">
        <v>9</v>
      </c>
      <c r="F1080" t="s">
        <v>12</v>
      </c>
      <c r="G1080" s="3">
        <v>34672.15</v>
      </c>
      <c r="H1080" t="str" cm="1">
        <f t="array" ref="H1080">_xlfn.IFS(A1080&lt;13, "Child", A1080&lt;20, "Teenager", A1080&lt;40, "Young Adult", A1080&lt;60, "Senior Adult", A1080&gt;=60, "Elderly")</f>
        <v>Young Adult</v>
      </c>
    </row>
    <row r="1081" spans="1:8" x14ac:dyDescent="0.25">
      <c r="A1081" s="1">
        <v>63</v>
      </c>
      <c r="B1081" t="s">
        <v>8</v>
      </c>
      <c r="C1081" s="2">
        <v>33.700000000000003</v>
      </c>
      <c r="D1081" s="1">
        <v>3</v>
      </c>
      <c r="E1081" t="s">
        <v>10</v>
      </c>
      <c r="F1081" t="s">
        <v>12</v>
      </c>
      <c r="G1081" s="3">
        <v>15161.53</v>
      </c>
      <c r="H1081" t="str" cm="1">
        <f t="array" ref="H1081">_xlfn.IFS(A1081&lt;13, "Child", A1081&lt;20, "Teenager", A1081&lt;40, "Young Adult", A1081&lt;60, "Senior Adult", A1081&gt;=60, "Elderly")</f>
        <v>Elderly</v>
      </c>
    </row>
    <row r="1082" spans="1:8" x14ac:dyDescent="0.25">
      <c r="A1082" s="1">
        <v>18</v>
      </c>
      <c r="B1082" t="s">
        <v>8</v>
      </c>
      <c r="C1082" s="2">
        <v>21.8</v>
      </c>
      <c r="D1082" s="1">
        <v>2</v>
      </c>
      <c r="E1082" t="s">
        <v>10</v>
      </c>
      <c r="F1082" t="s">
        <v>12</v>
      </c>
      <c r="G1082" s="3">
        <v>11884.05</v>
      </c>
      <c r="H1082" t="str" cm="1">
        <f t="array" ref="H1082">_xlfn.IFS(A1082&lt;13, "Child", A1082&lt;20, "Teenager", A1082&lt;40, "Young Adult", A1082&lt;60, "Senior Adult", A1082&gt;=60, "Elderly")</f>
        <v>Teenager</v>
      </c>
    </row>
    <row r="1083" spans="1:8" x14ac:dyDescent="0.25">
      <c r="A1083" s="1">
        <v>32</v>
      </c>
      <c r="B1083" t="s">
        <v>8</v>
      </c>
      <c r="C1083" s="2">
        <v>27.8</v>
      </c>
      <c r="D1083" s="1">
        <v>1</v>
      </c>
      <c r="E1083" t="s">
        <v>10</v>
      </c>
      <c r="F1083" t="s">
        <v>13</v>
      </c>
      <c r="G1083" s="3">
        <v>4454.3999999999996</v>
      </c>
      <c r="H1083" t="str" cm="1">
        <f t="array" ref="H1083">_xlfn.IFS(A1083&lt;13, "Child", A1083&lt;20, "Teenager", A1083&lt;40, "Young Adult", A1083&lt;60, "Senior Adult", A1083&gt;=60, "Elderly")</f>
        <v>Young Adult</v>
      </c>
    </row>
    <row r="1084" spans="1:8" x14ac:dyDescent="0.25">
      <c r="A1084" s="1">
        <v>38</v>
      </c>
      <c r="B1084" t="s">
        <v>8</v>
      </c>
      <c r="C1084" s="2">
        <v>20</v>
      </c>
      <c r="D1084" s="1">
        <v>1</v>
      </c>
      <c r="E1084" t="s">
        <v>10</v>
      </c>
      <c r="F1084" t="s">
        <v>13</v>
      </c>
      <c r="G1084" s="3">
        <v>5855.9</v>
      </c>
      <c r="H1084" t="str" cm="1">
        <f t="array" ref="H1084">_xlfn.IFS(A1084&lt;13, "Child", A1084&lt;20, "Teenager", A1084&lt;40, "Young Adult", A1084&lt;60, "Senior Adult", A1084&gt;=60, "Elderly")</f>
        <v>Young Adult</v>
      </c>
    </row>
    <row r="1085" spans="1:8" x14ac:dyDescent="0.25">
      <c r="A1085" s="1">
        <v>32</v>
      </c>
      <c r="B1085" t="s">
        <v>8</v>
      </c>
      <c r="C1085" s="2">
        <v>31.5</v>
      </c>
      <c r="D1085" s="1">
        <v>1</v>
      </c>
      <c r="E1085" t="s">
        <v>10</v>
      </c>
      <c r="F1085" t="s">
        <v>11</v>
      </c>
      <c r="G1085" s="3">
        <v>4076.5</v>
      </c>
      <c r="H1085" t="str" cm="1">
        <f t="array" ref="H1085">_xlfn.IFS(A1085&lt;13, "Child", A1085&lt;20, "Teenager", A1085&lt;40, "Young Adult", A1085&lt;60, "Senior Adult", A1085&gt;=60, "Elderly")</f>
        <v>Young Adult</v>
      </c>
    </row>
    <row r="1086" spans="1:8" x14ac:dyDescent="0.25">
      <c r="A1086" s="1">
        <v>62</v>
      </c>
      <c r="B1086" t="s">
        <v>7</v>
      </c>
      <c r="C1086" s="2">
        <v>30.5</v>
      </c>
      <c r="D1086" s="1">
        <v>2</v>
      </c>
      <c r="E1086" t="s">
        <v>10</v>
      </c>
      <c r="F1086" t="s">
        <v>13</v>
      </c>
      <c r="G1086" s="3">
        <v>15019.76</v>
      </c>
      <c r="H1086" t="str" cm="1">
        <f t="array" ref="H1086">_xlfn.IFS(A1086&lt;13, "Child", A1086&lt;20, "Teenager", A1086&lt;40, "Young Adult", A1086&lt;60, "Senior Adult", A1086&gt;=60, "Elderly")</f>
        <v>Elderly</v>
      </c>
    </row>
    <row r="1087" spans="1:8" x14ac:dyDescent="0.25">
      <c r="A1087" s="1">
        <v>39</v>
      </c>
      <c r="B1087" t="s">
        <v>7</v>
      </c>
      <c r="C1087" s="2">
        <v>18.3</v>
      </c>
      <c r="D1087" s="1">
        <v>5</v>
      </c>
      <c r="E1087" t="s">
        <v>9</v>
      </c>
      <c r="F1087" t="s">
        <v>11</v>
      </c>
      <c r="G1087" s="3">
        <v>19023.259999999998</v>
      </c>
      <c r="H1087" t="str" cm="1">
        <f t="array" ref="H1087">_xlfn.IFS(A1087&lt;13, "Child", A1087&lt;20, "Teenager", A1087&lt;40, "Young Adult", A1087&lt;60, "Senior Adult", A1087&gt;=60, "Elderly")</f>
        <v>Young Adult</v>
      </c>
    </row>
    <row r="1088" spans="1:8" x14ac:dyDescent="0.25">
      <c r="A1088" s="1">
        <v>55</v>
      </c>
      <c r="B1088" t="s">
        <v>8</v>
      </c>
      <c r="C1088" s="2">
        <v>29</v>
      </c>
      <c r="D1088" s="1">
        <v>0</v>
      </c>
      <c r="E1088" t="s">
        <v>10</v>
      </c>
      <c r="F1088" t="s">
        <v>14</v>
      </c>
      <c r="G1088" s="3">
        <v>10796.35</v>
      </c>
      <c r="H1088" t="str" cm="1">
        <f t="array" ref="H1088">_xlfn.IFS(A1088&lt;13, "Child", A1088&lt;20, "Teenager", A1088&lt;40, "Young Adult", A1088&lt;60, "Senior Adult", A1088&gt;=60, "Elderly")</f>
        <v>Senior Adult</v>
      </c>
    </row>
    <row r="1089" spans="1:8" x14ac:dyDescent="0.25">
      <c r="A1089" s="1">
        <v>57</v>
      </c>
      <c r="B1089" t="s">
        <v>8</v>
      </c>
      <c r="C1089" s="2">
        <v>31.5</v>
      </c>
      <c r="D1089" s="1">
        <v>0</v>
      </c>
      <c r="E1089" t="s">
        <v>10</v>
      </c>
      <c r="F1089" t="s">
        <v>13</v>
      </c>
      <c r="G1089" s="3">
        <v>11353.23</v>
      </c>
      <c r="H1089" t="str" cm="1">
        <f t="array" ref="H1089">_xlfn.IFS(A1089&lt;13, "Child", A1089&lt;20, "Teenager", A1089&lt;40, "Young Adult", A1089&lt;60, "Senior Adult", A1089&gt;=60, "Elderly")</f>
        <v>Senior Adult</v>
      </c>
    </row>
    <row r="1090" spans="1:8" x14ac:dyDescent="0.25">
      <c r="A1090" s="1">
        <v>52</v>
      </c>
      <c r="B1090" t="s">
        <v>8</v>
      </c>
      <c r="C1090" s="2">
        <v>47.7</v>
      </c>
      <c r="D1090" s="1">
        <v>1</v>
      </c>
      <c r="E1090" t="s">
        <v>10</v>
      </c>
      <c r="F1090" t="s">
        <v>12</v>
      </c>
      <c r="G1090" s="3">
        <v>9748.91</v>
      </c>
      <c r="H1090" t="str" cm="1">
        <f t="array" ref="H1090">_xlfn.IFS(A1090&lt;13, "Child", A1090&lt;20, "Teenager", A1090&lt;40, "Young Adult", A1090&lt;60, "Senior Adult", A1090&gt;=60, "Elderly")</f>
        <v>Senior Adult</v>
      </c>
    </row>
    <row r="1091" spans="1:8" x14ac:dyDescent="0.25">
      <c r="A1091" s="1">
        <v>56</v>
      </c>
      <c r="B1091" t="s">
        <v>8</v>
      </c>
      <c r="C1091" s="2">
        <v>22.1</v>
      </c>
      <c r="D1091" s="1">
        <v>0</v>
      </c>
      <c r="E1091" t="s">
        <v>10</v>
      </c>
      <c r="F1091" t="s">
        <v>11</v>
      </c>
      <c r="G1091" s="3">
        <v>10577.09</v>
      </c>
      <c r="H1091" t="str" cm="1">
        <f t="array" ref="H1091">_xlfn.IFS(A1091&lt;13, "Child", A1091&lt;20, "Teenager", A1091&lt;40, "Young Adult", A1091&lt;60, "Senior Adult", A1091&gt;=60, "Elderly")</f>
        <v>Senior Adult</v>
      </c>
    </row>
    <row r="1092" spans="1:8" x14ac:dyDescent="0.25">
      <c r="A1092" s="1">
        <v>47</v>
      </c>
      <c r="B1092" t="s">
        <v>8</v>
      </c>
      <c r="C1092" s="2">
        <v>36.200000000000003</v>
      </c>
      <c r="D1092" s="1">
        <v>0</v>
      </c>
      <c r="E1092" t="s">
        <v>9</v>
      </c>
      <c r="F1092" t="s">
        <v>12</v>
      </c>
      <c r="G1092" s="3">
        <v>41676.080000000002</v>
      </c>
      <c r="H1092" t="str" cm="1">
        <f t="array" ref="H1092">_xlfn.IFS(A1092&lt;13, "Child", A1092&lt;20, "Teenager", A1092&lt;40, "Young Adult", A1092&lt;60, "Senior Adult", A1092&gt;=60, "Elderly")</f>
        <v>Senior Adult</v>
      </c>
    </row>
    <row r="1093" spans="1:8" x14ac:dyDescent="0.25">
      <c r="A1093" s="1">
        <v>55</v>
      </c>
      <c r="B1093" t="s">
        <v>7</v>
      </c>
      <c r="C1093" s="2">
        <v>29.8</v>
      </c>
      <c r="D1093" s="1">
        <v>0</v>
      </c>
      <c r="E1093" t="s">
        <v>10</v>
      </c>
      <c r="F1093" t="s">
        <v>14</v>
      </c>
      <c r="G1093" s="3">
        <v>11286.54</v>
      </c>
      <c r="H1093" t="str" cm="1">
        <f t="array" ref="H1093">_xlfn.IFS(A1093&lt;13, "Child", A1093&lt;20, "Teenager", A1093&lt;40, "Young Adult", A1093&lt;60, "Senior Adult", A1093&gt;=60, "Elderly")</f>
        <v>Senior Adult</v>
      </c>
    </row>
    <row r="1094" spans="1:8" x14ac:dyDescent="0.25">
      <c r="A1094" s="1">
        <v>23</v>
      </c>
      <c r="B1094" t="s">
        <v>8</v>
      </c>
      <c r="C1094" s="2">
        <v>32.700000000000003</v>
      </c>
      <c r="D1094" s="1">
        <v>3</v>
      </c>
      <c r="E1094" t="s">
        <v>10</v>
      </c>
      <c r="F1094" t="s">
        <v>11</v>
      </c>
      <c r="G1094" s="3">
        <v>3591.48</v>
      </c>
      <c r="H1094" t="str" cm="1">
        <f t="array" ref="H1094">_xlfn.IFS(A1094&lt;13, "Child", A1094&lt;20, "Teenager", A1094&lt;40, "Young Adult", A1094&lt;60, "Senior Adult", A1094&gt;=60, "Elderly")</f>
        <v>Young Adult</v>
      </c>
    </row>
    <row r="1095" spans="1:8" x14ac:dyDescent="0.25">
      <c r="A1095" s="1">
        <v>22</v>
      </c>
      <c r="B1095" t="s">
        <v>7</v>
      </c>
      <c r="C1095" s="2">
        <v>30.4</v>
      </c>
      <c r="D1095" s="1">
        <v>0</v>
      </c>
      <c r="E1095" t="s">
        <v>9</v>
      </c>
      <c r="F1095" t="s">
        <v>13</v>
      </c>
      <c r="G1095" s="3">
        <v>33907.550000000003</v>
      </c>
      <c r="H1095" t="str" cm="1">
        <f t="array" ref="H1095">_xlfn.IFS(A1095&lt;13, "Child", A1095&lt;20, "Teenager", A1095&lt;40, "Young Adult", A1095&lt;60, "Senior Adult", A1095&gt;=60, "Elderly")</f>
        <v>Young Adult</v>
      </c>
    </row>
    <row r="1096" spans="1:8" x14ac:dyDescent="0.25">
      <c r="A1096" s="1">
        <v>50</v>
      </c>
      <c r="B1096" t="s">
        <v>7</v>
      </c>
      <c r="C1096" s="2">
        <v>33.700000000000003</v>
      </c>
      <c r="D1096" s="1">
        <v>4</v>
      </c>
      <c r="E1096" t="s">
        <v>10</v>
      </c>
      <c r="F1096" t="s">
        <v>11</v>
      </c>
      <c r="G1096" s="3">
        <v>11299.34</v>
      </c>
      <c r="H1096" t="str" cm="1">
        <f t="array" ref="H1096">_xlfn.IFS(A1096&lt;13, "Child", A1096&lt;20, "Teenager", A1096&lt;40, "Young Adult", A1096&lt;60, "Senior Adult", A1096&gt;=60, "Elderly")</f>
        <v>Senior Adult</v>
      </c>
    </row>
    <row r="1097" spans="1:8" x14ac:dyDescent="0.25">
      <c r="A1097" s="1">
        <v>18</v>
      </c>
      <c r="B1097" t="s">
        <v>7</v>
      </c>
      <c r="C1097" s="2">
        <v>31.4</v>
      </c>
      <c r="D1097" s="1">
        <v>4</v>
      </c>
      <c r="E1097" t="s">
        <v>10</v>
      </c>
      <c r="F1097" t="s">
        <v>14</v>
      </c>
      <c r="G1097" s="3">
        <v>4561.1899999999996</v>
      </c>
      <c r="H1097" t="str" cm="1">
        <f t="array" ref="H1097">_xlfn.IFS(A1097&lt;13, "Child", A1097&lt;20, "Teenager", A1097&lt;40, "Young Adult", A1097&lt;60, "Senior Adult", A1097&gt;=60, "Elderly")</f>
        <v>Teenager</v>
      </c>
    </row>
    <row r="1098" spans="1:8" x14ac:dyDescent="0.25">
      <c r="A1098" s="1">
        <v>51</v>
      </c>
      <c r="B1098" t="s">
        <v>7</v>
      </c>
      <c r="C1098" s="2">
        <v>35</v>
      </c>
      <c r="D1098" s="1">
        <v>2</v>
      </c>
      <c r="E1098" t="s">
        <v>9</v>
      </c>
      <c r="F1098" t="s">
        <v>14</v>
      </c>
      <c r="G1098" s="3">
        <v>44641.2</v>
      </c>
      <c r="H1098" t="str" cm="1">
        <f t="array" ref="H1098">_xlfn.IFS(A1098&lt;13, "Child", A1098&lt;20, "Teenager", A1098&lt;40, "Young Adult", A1098&lt;60, "Senior Adult", A1098&gt;=60, "Elderly")</f>
        <v>Senior Adult</v>
      </c>
    </row>
    <row r="1099" spans="1:8" x14ac:dyDescent="0.25">
      <c r="A1099" s="1">
        <v>22</v>
      </c>
      <c r="B1099" t="s">
        <v>8</v>
      </c>
      <c r="C1099" s="2">
        <v>33.799999999999997</v>
      </c>
      <c r="D1099" s="1">
        <v>0</v>
      </c>
      <c r="E1099" t="s">
        <v>10</v>
      </c>
      <c r="F1099" t="s">
        <v>12</v>
      </c>
      <c r="G1099" s="3">
        <v>1674.63</v>
      </c>
      <c r="H1099" t="str" cm="1">
        <f t="array" ref="H1099">_xlfn.IFS(A1099&lt;13, "Child", A1099&lt;20, "Teenager", A1099&lt;40, "Young Adult", A1099&lt;60, "Senior Adult", A1099&gt;=60, "Elderly")</f>
        <v>Young Adult</v>
      </c>
    </row>
    <row r="1100" spans="1:8" x14ac:dyDescent="0.25">
      <c r="A1100" s="1">
        <v>52</v>
      </c>
      <c r="B1100" t="s">
        <v>7</v>
      </c>
      <c r="C1100" s="2">
        <v>30.9</v>
      </c>
      <c r="D1100" s="1">
        <v>0</v>
      </c>
      <c r="E1100" t="s">
        <v>10</v>
      </c>
      <c r="F1100" t="s">
        <v>14</v>
      </c>
      <c r="G1100" s="3">
        <v>23045.57</v>
      </c>
      <c r="H1100" t="str" cm="1">
        <f t="array" ref="H1100">_xlfn.IFS(A1100&lt;13, "Child", A1100&lt;20, "Teenager", A1100&lt;40, "Young Adult", A1100&lt;60, "Senior Adult", A1100&gt;=60, "Elderly")</f>
        <v>Senior Adult</v>
      </c>
    </row>
    <row r="1101" spans="1:8" x14ac:dyDescent="0.25">
      <c r="A1101" s="1">
        <v>25</v>
      </c>
      <c r="B1101" t="s">
        <v>7</v>
      </c>
      <c r="C1101" s="2">
        <v>34</v>
      </c>
      <c r="D1101" s="1">
        <v>1</v>
      </c>
      <c r="E1101" t="s">
        <v>10</v>
      </c>
      <c r="F1101" t="s">
        <v>12</v>
      </c>
      <c r="G1101" s="3">
        <v>3227.12</v>
      </c>
      <c r="H1101" t="str" cm="1">
        <f t="array" ref="H1101">_xlfn.IFS(A1101&lt;13, "Child", A1101&lt;20, "Teenager", A1101&lt;40, "Young Adult", A1101&lt;60, "Senior Adult", A1101&gt;=60, "Elderly")</f>
        <v>Young Adult</v>
      </c>
    </row>
    <row r="1102" spans="1:8" x14ac:dyDescent="0.25">
      <c r="A1102" s="1">
        <v>33</v>
      </c>
      <c r="B1102" t="s">
        <v>7</v>
      </c>
      <c r="C1102" s="2">
        <v>19.100000000000001</v>
      </c>
      <c r="D1102" s="1">
        <v>2</v>
      </c>
      <c r="E1102" t="s">
        <v>9</v>
      </c>
      <c r="F1102" t="s">
        <v>14</v>
      </c>
      <c r="G1102" s="3">
        <v>16776.3</v>
      </c>
      <c r="H1102" t="str" cm="1">
        <f t="array" ref="H1102">_xlfn.IFS(A1102&lt;13, "Child", A1102&lt;20, "Teenager", A1102&lt;40, "Young Adult", A1102&lt;60, "Senior Adult", A1102&gt;=60, "Elderly")</f>
        <v>Young Adult</v>
      </c>
    </row>
    <row r="1103" spans="1:8" x14ac:dyDescent="0.25">
      <c r="A1103" s="1">
        <v>53</v>
      </c>
      <c r="B1103" t="s">
        <v>8</v>
      </c>
      <c r="C1103" s="2">
        <v>28.6</v>
      </c>
      <c r="D1103" s="1">
        <v>3</v>
      </c>
      <c r="E1103" t="s">
        <v>10</v>
      </c>
      <c r="F1103" t="s">
        <v>11</v>
      </c>
      <c r="G1103" s="3">
        <v>11253.42</v>
      </c>
      <c r="H1103" t="str" cm="1">
        <f t="array" ref="H1103">_xlfn.IFS(A1103&lt;13, "Child", A1103&lt;20, "Teenager", A1103&lt;40, "Young Adult", A1103&lt;60, "Senior Adult", A1103&gt;=60, "Elderly")</f>
        <v>Senior Adult</v>
      </c>
    </row>
    <row r="1104" spans="1:8" x14ac:dyDescent="0.25">
      <c r="A1104" s="1">
        <v>29</v>
      </c>
      <c r="B1104" t="s">
        <v>8</v>
      </c>
      <c r="C1104" s="2">
        <v>38.9</v>
      </c>
      <c r="D1104" s="1">
        <v>1</v>
      </c>
      <c r="E1104" t="s">
        <v>10</v>
      </c>
      <c r="F1104" t="s">
        <v>12</v>
      </c>
      <c r="G1104" s="3">
        <v>3471.41</v>
      </c>
      <c r="H1104" t="str" cm="1">
        <f t="array" ref="H1104">_xlfn.IFS(A1104&lt;13, "Child", A1104&lt;20, "Teenager", A1104&lt;40, "Young Adult", A1104&lt;60, "Senior Adult", A1104&gt;=60, "Elderly")</f>
        <v>Young Adult</v>
      </c>
    </row>
    <row r="1105" spans="1:8" x14ac:dyDescent="0.25">
      <c r="A1105" s="1">
        <v>58</v>
      </c>
      <c r="B1105" t="s">
        <v>8</v>
      </c>
      <c r="C1105" s="2">
        <v>36.1</v>
      </c>
      <c r="D1105" s="1">
        <v>0</v>
      </c>
      <c r="E1105" t="s">
        <v>10</v>
      </c>
      <c r="F1105" t="s">
        <v>12</v>
      </c>
      <c r="G1105" s="3">
        <v>11363.28</v>
      </c>
      <c r="H1105" t="str" cm="1">
        <f t="array" ref="H1105">_xlfn.IFS(A1105&lt;13, "Child", A1105&lt;20, "Teenager", A1105&lt;40, "Young Adult", A1105&lt;60, "Senior Adult", A1105&gt;=60, "Elderly")</f>
        <v>Senior Adult</v>
      </c>
    </row>
    <row r="1106" spans="1:8" x14ac:dyDescent="0.25">
      <c r="A1106" s="1">
        <v>37</v>
      </c>
      <c r="B1106" t="s">
        <v>8</v>
      </c>
      <c r="C1106" s="2">
        <v>29.8</v>
      </c>
      <c r="D1106" s="1">
        <v>0</v>
      </c>
      <c r="E1106" t="s">
        <v>10</v>
      </c>
      <c r="F1106" t="s">
        <v>11</v>
      </c>
      <c r="G1106" s="3">
        <v>20420.599999999999</v>
      </c>
      <c r="H1106" t="str" cm="1">
        <f t="array" ref="H1106">_xlfn.IFS(A1106&lt;13, "Child", A1106&lt;20, "Teenager", A1106&lt;40, "Young Adult", A1106&lt;60, "Senior Adult", A1106&gt;=60, "Elderly")</f>
        <v>Young Adult</v>
      </c>
    </row>
    <row r="1107" spans="1:8" x14ac:dyDescent="0.25">
      <c r="A1107" s="1">
        <v>54</v>
      </c>
      <c r="B1107" t="s">
        <v>7</v>
      </c>
      <c r="C1107" s="2">
        <v>31.2</v>
      </c>
      <c r="D1107" s="1">
        <v>0</v>
      </c>
      <c r="E1107" t="s">
        <v>10</v>
      </c>
      <c r="F1107" t="s">
        <v>12</v>
      </c>
      <c r="G1107" s="3">
        <v>10338.93</v>
      </c>
      <c r="H1107" t="str" cm="1">
        <f t="array" ref="H1107">_xlfn.IFS(A1107&lt;13, "Child", A1107&lt;20, "Teenager", A1107&lt;40, "Young Adult", A1107&lt;60, "Senior Adult", A1107&gt;=60, "Elderly")</f>
        <v>Senior Adult</v>
      </c>
    </row>
    <row r="1108" spans="1:8" x14ac:dyDescent="0.25">
      <c r="A1108" s="1">
        <v>49</v>
      </c>
      <c r="B1108" t="s">
        <v>7</v>
      </c>
      <c r="C1108" s="2">
        <v>29.9</v>
      </c>
      <c r="D1108" s="1">
        <v>0</v>
      </c>
      <c r="E1108" t="s">
        <v>10</v>
      </c>
      <c r="F1108" t="s">
        <v>13</v>
      </c>
      <c r="G1108" s="3">
        <v>8988.16</v>
      </c>
      <c r="H1108" t="str" cm="1">
        <f t="array" ref="H1108">_xlfn.IFS(A1108&lt;13, "Child", A1108&lt;20, "Teenager", A1108&lt;40, "Young Adult", A1108&lt;60, "Senior Adult", A1108&gt;=60, "Elderly")</f>
        <v>Senior Adult</v>
      </c>
    </row>
    <row r="1109" spans="1:8" x14ac:dyDescent="0.25">
      <c r="A1109" s="1">
        <v>50</v>
      </c>
      <c r="B1109" t="s">
        <v>7</v>
      </c>
      <c r="C1109" s="2">
        <v>26.2</v>
      </c>
      <c r="D1109" s="1">
        <v>2</v>
      </c>
      <c r="E1109" t="s">
        <v>10</v>
      </c>
      <c r="F1109" t="s">
        <v>13</v>
      </c>
      <c r="G1109" s="3">
        <v>10493.95</v>
      </c>
      <c r="H1109" t="str" cm="1">
        <f t="array" ref="H1109">_xlfn.IFS(A1109&lt;13, "Child", A1109&lt;20, "Teenager", A1109&lt;40, "Young Adult", A1109&lt;60, "Senior Adult", A1109&gt;=60, "Elderly")</f>
        <v>Senior Adult</v>
      </c>
    </row>
    <row r="1110" spans="1:8" x14ac:dyDescent="0.25">
      <c r="A1110" s="1">
        <v>26</v>
      </c>
      <c r="B1110" t="s">
        <v>8</v>
      </c>
      <c r="C1110" s="2">
        <v>30</v>
      </c>
      <c r="D1110" s="1">
        <v>1</v>
      </c>
      <c r="E1110" t="s">
        <v>10</v>
      </c>
      <c r="F1110" t="s">
        <v>11</v>
      </c>
      <c r="G1110" s="3">
        <v>2904.09</v>
      </c>
      <c r="H1110" t="str" cm="1">
        <f t="array" ref="H1110">_xlfn.IFS(A1110&lt;13, "Child", A1110&lt;20, "Teenager", A1110&lt;40, "Young Adult", A1110&lt;60, "Senior Adult", A1110&gt;=60, "Elderly")</f>
        <v>Young Adult</v>
      </c>
    </row>
    <row r="1111" spans="1:8" x14ac:dyDescent="0.25">
      <c r="A1111" s="1">
        <v>45</v>
      </c>
      <c r="B1111" t="s">
        <v>8</v>
      </c>
      <c r="C1111" s="2">
        <v>20.399999999999999</v>
      </c>
      <c r="D1111" s="1">
        <v>3</v>
      </c>
      <c r="E1111" t="s">
        <v>10</v>
      </c>
      <c r="F1111" t="s">
        <v>12</v>
      </c>
      <c r="G1111" s="3">
        <v>8605.36</v>
      </c>
      <c r="H1111" t="str" cm="1">
        <f t="array" ref="H1111">_xlfn.IFS(A1111&lt;13, "Child", A1111&lt;20, "Teenager", A1111&lt;40, "Young Adult", A1111&lt;60, "Senior Adult", A1111&gt;=60, "Elderly")</f>
        <v>Senior Adult</v>
      </c>
    </row>
    <row r="1112" spans="1:8" x14ac:dyDescent="0.25">
      <c r="A1112" s="1">
        <v>54</v>
      </c>
      <c r="B1112" t="s">
        <v>7</v>
      </c>
      <c r="C1112" s="2">
        <v>32.299999999999997</v>
      </c>
      <c r="D1112" s="1">
        <v>1</v>
      </c>
      <c r="E1112" t="s">
        <v>10</v>
      </c>
      <c r="F1112" t="s">
        <v>14</v>
      </c>
      <c r="G1112" s="3">
        <v>11512.41</v>
      </c>
      <c r="H1112" t="str" cm="1">
        <f t="array" ref="H1112">_xlfn.IFS(A1112&lt;13, "Child", A1112&lt;20, "Teenager", A1112&lt;40, "Young Adult", A1112&lt;60, "Senior Adult", A1112&gt;=60, "Elderly")</f>
        <v>Senior Adult</v>
      </c>
    </row>
    <row r="1113" spans="1:8" x14ac:dyDescent="0.25">
      <c r="A1113" s="1">
        <v>38</v>
      </c>
      <c r="B1113" t="s">
        <v>8</v>
      </c>
      <c r="C1113" s="2">
        <v>38.4</v>
      </c>
      <c r="D1113" s="1">
        <v>3</v>
      </c>
      <c r="E1113" t="s">
        <v>9</v>
      </c>
      <c r="F1113" t="s">
        <v>12</v>
      </c>
      <c r="G1113" s="3">
        <v>41949.24</v>
      </c>
      <c r="H1113" t="str" cm="1">
        <f t="array" ref="H1113">_xlfn.IFS(A1113&lt;13, "Child", A1113&lt;20, "Teenager", A1113&lt;40, "Young Adult", A1113&lt;60, "Senior Adult", A1113&gt;=60, "Elderly")</f>
        <v>Young Adult</v>
      </c>
    </row>
    <row r="1114" spans="1:8" x14ac:dyDescent="0.25">
      <c r="A1114" s="1">
        <v>48</v>
      </c>
      <c r="B1114" t="s">
        <v>7</v>
      </c>
      <c r="C1114" s="2">
        <v>25.9</v>
      </c>
      <c r="D1114" s="1">
        <v>3</v>
      </c>
      <c r="E1114" t="s">
        <v>9</v>
      </c>
      <c r="F1114" t="s">
        <v>12</v>
      </c>
      <c r="G1114" s="3">
        <v>24180.93</v>
      </c>
      <c r="H1114" t="str" cm="1">
        <f t="array" ref="H1114">_xlfn.IFS(A1114&lt;13, "Child", A1114&lt;20, "Teenager", A1114&lt;40, "Young Adult", A1114&lt;60, "Senior Adult", A1114&gt;=60, "Elderly")</f>
        <v>Senior Adult</v>
      </c>
    </row>
    <row r="1115" spans="1:8" x14ac:dyDescent="0.25">
      <c r="A1115" s="1">
        <v>28</v>
      </c>
      <c r="B1115" t="s">
        <v>7</v>
      </c>
      <c r="C1115" s="2">
        <v>26.3</v>
      </c>
      <c r="D1115" s="1">
        <v>3</v>
      </c>
      <c r="E1115" t="s">
        <v>10</v>
      </c>
      <c r="F1115" t="s">
        <v>13</v>
      </c>
      <c r="G1115" s="3">
        <v>5312.17</v>
      </c>
      <c r="H1115" t="str" cm="1">
        <f t="array" ref="H1115">_xlfn.IFS(A1115&lt;13, "Child", A1115&lt;20, "Teenager", A1115&lt;40, "Young Adult", A1115&lt;60, "Senior Adult", A1115&gt;=60, "Elderly")</f>
        <v>Young Adult</v>
      </c>
    </row>
    <row r="1116" spans="1:8" x14ac:dyDescent="0.25">
      <c r="A1116" s="1">
        <v>23</v>
      </c>
      <c r="B1116" t="s">
        <v>8</v>
      </c>
      <c r="C1116" s="2">
        <v>24.5</v>
      </c>
      <c r="D1116" s="1">
        <v>0</v>
      </c>
      <c r="E1116" t="s">
        <v>10</v>
      </c>
      <c r="F1116" t="s">
        <v>14</v>
      </c>
      <c r="G1116" s="3">
        <v>2396.1</v>
      </c>
      <c r="H1116" t="str" cm="1">
        <f t="array" ref="H1116">_xlfn.IFS(A1116&lt;13, "Child", A1116&lt;20, "Teenager", A1116&lt;40, "Young Adult", A1116&lt;60, "Senior Adult", A1116&gt;=60, "Elderly")</f>
        <v>Young Adult</v>
      </c>
    </row>
    <row r="1117" spans="1:8" x14ac:dyDescent="0.25">
      <c r="A1117" s="1">
        <v>55</v>
      </c>
      <c r="B1117" t="s">
        <v>8</v>
      </c>
      <c r="C1117" s="2">
        <v>32.700000000000003</v>
      </c>
      <c r="D1117" s="1">
        <v>1</v>
      </c>
      <c r="E1117" t="s">
        <v>10</v>
      </c>
      <c r="F1117" t="s">
        <v>12</v>
      </c>
      <c r="G1117" s="3">
        <v>10807.49</v>
      </c>
      <c r="H1117" t="str" cm="1">
        <f t="array" ref="H1117">_xlfn.IFS(A1117&lt;13, "Child", A1117&lt;20, "Teenager", A1117&lt;40, "Young Adult", A1117&lt;60, "Senior Adult", A1117&gt;=60, "Elderly")</f>
        <v>Senior Adult</v>
      </c>
    </row>
    <row r="1118" spans="1:8" x14ac:dyDescent="0.25">
      <c r="A1118" s="1">
        <v>41</v>
      </c>
      <c r="B1118" t="s">
        <v>8</v>
      </c>
      <c r="C1118" s="2">
        <v>29.6</v>
      </c>
      <c r="D1118" s="1">
        <v>5</v>
      </c>
      <c r="E1118" t="s">
        <v>10</v>
      </c>
      <c r="F1118" t="s">
        <v>14</v>
      </c>
      <c r="G1118" s="3">
        <v>9222.4</v>
      </c>
      <c r="H1118" t="str" cm="1">
        <f t="array" ref="H1118">_xlfn.IFS(A1118&lt;13, "Child", A1118&lt;20, "Teenager", A1118&lt;40, "Young Adult", A1118&lt;60, "Senior Adult", A1118&gt;=60, "Elderly")</f>
        <v>Senior Adult</v>
      </c>
    </row>
    <row r="1119" spans="1:8" x14ac:dyDescent="0.25">
      <c r="A1119" s="1">
        <v>25</v>
      </c>
      <c r="B1119" t="s">
        <v>8</v>
      </c>
      <c r="C1119" s="2">
        <v>33.299999999999997</v>
      </c>
      <c r="D1119" s="1">
        <v>2</v>
      </c>
      <c r="E1119" t="s">
        <v>9</v>
      </c>
      <c r="F1119" t="s">
        <v>12</v>
      </c>
      <c r="G1119" s="3">
        <v>36124.57</v>
      </c>
      <c r="H1119" t="str" cm="1">
        <f t="array" ref="H1119">_xlfn.IFS(A1119&lt;13, "Child", A1119&lt;20, "Teenager", A1119&lt;40, "Young Adult", A1119&lt;60, "Senior Adult", A1119&gt;=60, "Elderly")</f>
        <v>Young Adult</v>
      </c>
    </row>
    <row r="1120" spans="1:8" x14ac:dyDescent="0.25">
      <c r="A1120" s="1">
        <v>33</v>
      </c>
      <c r="B1120" t="s">
        <v>8</v>
      </c>
      <c r="C1120" s="2">
        <v>35.799999999999997</v>
      </c>
      <c r="D1120" s="1">
        <v>1</v>
      </c>
      <c r="E1120" t="s">
        <v>9</v>
      </c>
      <c r="F1120" t="s">
        <v>12</v>
      </c>
      <c r="G1120" s="3">
        <v>38282.75</v>
      </c>
      <c r="H1120" t="str" cm="1">
        <f t="array" ref="H1120">_xlfn.IFS(A1120&lt;13, "Child", A1120&lt;20, "Teenager", A1120&lt;40, "Young Adult", A1120&lt;60, "Senior Adult", A1120&gt;=60, "Elderly")</f>
        <v>Young Adult</v>
      </c>
    </row>
    <row r="1121" spans="1:8" x14ac:dyDescent="0.25">
      <c r="A1121" s="1">
        <v>30</v>
      </c>
      <c r="B1121" t="s">
        <v>7</v>
      </c>
      <c r="C1121" s="2">
        <v>20</v>
      </c>
      <c r="D1121" s="1">
        <v>3</v>
      </c>
      <c r="E1121" t="s">
        <v>10</v>
      </c>
      <c r="F1121" t="s">
        <v>13</v>
      </c>
      <c r="G1121" s="3">
        <v>5693.43</v>
      </c>
      <c r="H1121" t="str" cm="1">
        <f t="array" ref="H1121">_xlfn.IFS(A1121&lt;13, "Child", A1121&lt;20, "Teenager", A1121&lt;40, "Young Adult", A1121&lt;60, "Senior Adult", A1121&gt;=60, "Elderly")</f>
        <v>Young Adult</v>
      </c>
    </row>
    <row r="1122" spans="1:8" x14ac:dyDescent="0.25">
      <c r="A1122" s="1">
        <v>23</v>
      </c>
      <c r="B1122" t="s">
        <v>7</v>
      </c>
      <c r="C1122" s="2">
        <v>31.4</v>
      </c>
      <c r="D1122" s="1">
        <v>0</v>
      </c>
      <c r="E1122" t="s">
        <v>9</v>
      </c>
      <c r="F1122" t="s">
        <v>11</v>
      </c>
      <c r="G1122" s="3">
        <v>34166.269999999997</v>
      </c>
      <c r="H1122" t="str" cm="1">
        <f t="array" ref="H1122">_xlfn.IFS(A1122&lt;13, "Child", A1122&lt;20, "Teenager", A1122&lt;40, "Young Adult", A1122&lt;60, "Senior Adult", A1122&gt;=60, "Elderly")</f>
        <v>Young Adult</v>
      </c>
    </row>
    <row r="1123" spans="1:8" x14ac:dyDescent="0.25">
      <c r="A1123" s="1">
        <v>46</v>
      </c>
      <c r="B1123" t="s">
        <v>8</v>
      </c>
      <c r="C1123" s="2">
        <v>38.200000000000003</v>
      </c>
      <c r="D1123" s="1">
        <v>2</v>
      </c>
      <c r="E1123" t="s">
        <v>10</v>
      </c>
      <c r="F1123" t="s">
        <v>12</v>
      </c>
      <c r="G1123" s="3">
        <v>8347.16</v>
      </c>
      <c r="H1123" t="str" cm="1">
        <f t="array" ref="H1123">_xlfn.IFS(A1123&lt;13, "Child", A1123&lt;20, "Teenager", A1123&lt;40, "Young Adult", A1123&lt;60, "Senior Adult", A1123&gt;=60, "Elderly")</f>
        <v>Senior Adult</v>
      </c>
    </row>
    <row r="1124" spans="1:8" x14ac:dyDescent="0.25">
      <c r="A1124" s="1">
        <v>53</v>
      </c>
      <c r="B1124" t="s">
        <v>7</v>
      </c>
      <c r="C1124" s="2">
        <v>36.9</v>
      </c>
      <c r="D1124" s="1">
        <v>3</v>
      </c>
      <c r="E1124" t="s">
        <v>9</v>
      </c>
      <c r="F1124" t="s">
        <v>13</v>
      </c>
      <c r="G1124" s="3">
        <v>46661.440000000002</v>
      </c>
      <c r="H1124" t="str" cm="1">
        <f t="array" ref="H1124">_xlfn.IFS(A1124&lt;13, "Child", A1124&lt;20, "Teenager", A1124&lt;40, "Young Adult", A1124&lt;60, "Senior Adult", A1124&gt;=60, "Elderly")</f>
        <v>Senior Adult</v>
      </c>
    </row>
    <row r="1125" spans="1:8" x14ac:dyDescent="0.25">
      <c r="A1125" s="1">
        <v>27</v>
      </c>
      <c r="B1125" t="s">
        <v>7</v>
      </c>
      <c r="C1125" s="2">
        <v>32.4</v>
      </c>
      <c r="D1125" s="1">
        <v>1</v>
      </c>
      <c r="E1125" t="s">
        <v>10</v>
      </c>
      <c r="F1125" t="s">
        <v>14</v>
      </c>
      <c r="G1125" s="3">
        <v>18903.490000000002</v>
      </c>
      <c r="H1125" t="str" cm="1">
        <f t="array" ref="H1125">_xlfn.IFS(A1125&lt;13, "Child", A1125&lt;20, "Teenager", A1125&lt;40, "Young Adult", A1125&lt;60, "Senior Adult", A1125&gt;=60, "Elderly")</f>
        <v>Young Adult</v>
      </c>
    </row>
    <row r="1126" spans="1:8" x14ac:dyDescent="0.25">
      <c r="A1126" s="1">
        <v>23</v>
      </c>
      <c r="B1126" t="s">
        <v>7</v>
      </c>
      <c r="C1126" s="2">
        <v>42.8</v>
      </c>
      <c r="D1126" s="1">
        <v>1</v>
      </c>
      <c r="E1126" t="s">
        <v>9</v>
      </c>
      <c r="F1126" t="s">
        <v>14</v>
      </c>
      <c r="G1126" s="3">
        <v>40904.199999999997</v>
      </c>
      <c r="H1126" t="str" cm="1">
        <f t="array" ref="H1126">_xlfn.IFS(A1126&lt;13, "Child", A1126&lt;20, "Teenager", A1126&lt;40, "Young Adult", A1126&lt;60, "Senior Adult", A1126&gt;=60, "Elderly")</f>
        <v>Young Adult</v>
      </c>
    </row>
    <row r="1127" spans="1:8" x14ac:dyDescent="0.25">
      <c r="A1127" s="1">
        <v>63</v>
      </c>
      <c r="B1127" t="s">
        <v>7</v>
      </c>
      <c r="C1127" s="2">
        <v>25.1</v>
      </c>
      <c r="D1127" s="1">
        <v>0</v>
      </c>
      <c r="E1127" t="s">
        <v>10</v>
      </c>
      <c r="F1127" t="s">
        <v>13</v>
      </c>
      <c r="G1127" s="3">
        <v>14254.61</v>
      </c>
      <c r="H1127" t="str" cm="1">
        <f t="array" ref="H1127">_xlfn.IFS(A1127&lt;13, "Child", A1127&lt;20, "Teenager", A1127&lt;40, "Young Adult", A1127&lt;60, "Senior Adult", A1127&gt;=60, "Elderly")</f>
        <v>Elderly</v>
      </c>
    </row>
    <row r="1128" spans="1:8" x14ac:dyDescent="0.25">
      <c r="A1128" s="1">
        <v>55</v>
      </c>
      <c r="B1128" t="s">
        <v>8</v>
      </c>
      <c r="C1128" s="2">
        <v>29.9</v>
      </c>
      <c r="D1128" s="1">
        <v>0</v>
      </c>
      <c r="E1128" t="s">
        <v>10</v>
      </c>
      <c r="F1128" t="s">
        <v>11</v>
      </c>
      <c r="G1128" s="3">
        <v>10214.64</v>
      </c>
      <c r="H1128" t="str" cm="1">
        <f t="array" ref="H1128">_xlfn.IFS(A1128&lt;13, "Child", A1128&lt;20, "Teenager", A1128&lt;40, "Young Adult", A1128&lt;60, "Senior Adult", A1128&gt;=60, "Elderly")</f>
        <v>Senior Adult</v>
      </c>
    </row>
    <row r="1129" spans="1:8" x14ac:dyDescent="0.25">
      <c r="A1129" s="1">
        <v>35</v>
      </c>
      <c r="B1129" t="s">
        <v>7</v>
      </c>
      <c r="C1129" s="2">
        <v>35.9</v>
      </c>
      <c r="D1129" s="1">
        <v>2</v>
      </c>
      <c r="E1129" t="s">
        <v>10</v>
      </c>
      <c r="F1129" t="s">
        <v>12</v>
      </c>
      <c r="G1129" s="3">
        <v>5836.52</v>
      </c>
      <c r="H1129" t="str" cm="1">
        <f t="array" ref="H1129">_xlfn.IFS(A1129&lt;13, "Child", A1129&lt;20, "Teenager", A1129&lt;40, "Young Adult", A1129&lt;60, "Senior Adult", A1129&gt;=60, "Elderly")</f>
        <v>Young Adult</v>
      </c>
    </row>
    <row r="1130" spans="1:8" x14ac:dyDescent="0.25">
      <c r="A1130" s="1">
        <v>34</v>
      </c>
      <c r="B1130" t="s">
        <v>8</v>
      </c>
      <c r="C1130" s="2">
        <v>32.799999999999997</v>
      </c>
      <c r="D1130" s="1">
        <v>1</v>
      </c>
      <c r="E1130" t="s">
        <v>10</v>
      </c>
      <c r="F1130" t="s">
        <v>11</v>
      </c>
      <c r="G1130" s="3">
        <v>14358.36</v>
      </c>
      <c r="H1130" t="str" cm="1">
        <f t="array" ref="H1130">_xlfn.IFS(A1130&lt;13, "Child", A1130&lt;20, "Teenager", A1130&lt;40, "Young Adult", A1130&lt;60, "Senior Adult", A1130&gt;=60, "Elderly")</f>
        <v>Young Adult</v>
      </c>
    </row>
    <row r="1131" spans="1:8" x14ac:dyDescent="0.25">
      <c r="A1131" s="1">
        <v>19</v>
      </c>
      <c r="B1131" t="s">
        <v>7</v>
      </c>
      <c r="C1131" s="2">
        <v>18.600000000000001</v>
      </c>
      <c r="D1131" s="1">
        <v>0</v>
      </c>
      <c r="E1131" t="s">
        <v>10</v>
      </c>
      <c r="F1131" t="s">
        <v>11</v>
      </c>
      <c r="G1131" s="3">
        <v>1728.9</v>
      </c>
      <c r="H1131" t="str" cm="1">
        <f t="array" ref="H1131">_xlfn.IFS(A1131&lt;13, "Child", A1131&lt;20, "Teenager", A1131&lt;40, "Young Adult", A1131&lt;60, "Senior Adult", A1131&gt;=60, "Elderly")</f>
        <v>Teenager</v>
      </c>
    </row>
    <row r="1132" spans="1:8" x14ac:dyDescent="0.25">
      <c r="A1132" s="1">
        <v>39</v>
      </c>
      <c r="B1132" t="s">
        <v>7</v>
      </c>
      <c r="C1132" s="2">
        <v>23.9</v>
      </c>
      <c r="D1132" s="1">
        <v>5</v>
      </c>
      <c r="E1132" t="s">
        <v>10</v>
      </c>
      <c r="F1132" t="s">
        <v>12</v>
      </c>
      <c r="G1132" s="3">
        <v>8582.2999999999993</v>
      </c>
      <c r="H1132" t="str" cm="1">
        <f t="array" ref="H1132">_xlfn.IFS(A1132&lt;13, "Child", A1132&lt;20, "Teenager", A1132&lt;40, "Young Adult", A1132&lt;60, "Senior Adult", A1132&gt;=60, "Elderly")</f>
        <v>Young Adult</v>
      </c>
    </row>
    <row r="1133" spans="1:8" x14ac:dyDescent="0.25">
      <c r="A1133" s="1">
        <v>27</v>
      </c>
      <c r="B1133" t="s">
        <v>8</v>
      </c>
      <c r="C1133" s="2">
        <v>45.9</v>
      </c>
      <c r="D1133" s="1">
        <v>2</v>
      </c>
      <c r="E1133" t="s">
        <v>10</v>
      </c>
      <c r="F1133" t="s">
        <v>11</v>
      </c>
      <c r="G1133" s="3">
        <v>3693.43</v>
      </c>
      <c r="H1133" t="str" cm="1">
        <f t="array" ref="H1133">_xlfn.IFS(A1133&lt;13, "Child", A1133&lt;20, "Teenager", A1133&lt;40, "Young Adult", A1133&lt;60, "Senior Adult", A1133&gt;=60, "Elderly")</f>
        <v>Young Adult</v>
      </c>
    </row>
    <row r="1134" spans="1:8" x14ac:dyDescent="0.25">
      <c r="A1134" s="1">
        <v>57</v>
      </c>
      <c r="B1134" t="s">
        <v>8</v>
      </c>
      <c r="C1134" s="2">
        <v>40.299999999999997</v>
      </c>
      <c r="D1134" s="1">
        <v>0</v>
      </c>
      <c r="E1134" t="s">
        <v>10</v>
      </c>
      <c r="F1134" t="s">
        <v>14</v>
      </c>
      <c r="G1134" s="3">
        <v>20709.02</v>
      </c>
      <c r="H1134" t="str" cm="1">
        <f t="array" ref="H1134">_xlfn.IFS(A1134&lt;13, "Child", A1134&lt;20, "Teenager", A1134&lt;40, "Young Adult", A1134&lt;60, "Senior Adult", A1134&gt;=60, "Elderly")</f>
        <v>Senior Adult</v>
      </c>
    </row>
    <row r="1135" spans="1:8" x14ac:dyDescent="0.25">
      <c r="A1135" s="1">
        <v>52</v>
      </c>
      <c r="B1135" t="s">
        <v>7</v>
      </c>
      <c r="C1135" s="2">
        <v>18.3</v>
      </c>
      <c r="D1135" s="1">
        <v>0</v>
      </c>
      <c r="E1135" t="s">
        <v>10</v>
      </c>
      <c r="F1135" t="s">
        <v>13</v>
      </c>
      <c r="G1135" s="3">
        <v>9991.0400000000009</v>
      </c>
      <c r="H1135" t="str" cm="1">
        <f t="array" ref="H1135">_xlfn.IFS(A1135&lt;13, "Child", A1135&lt;20, "Teenager", A1135&lt;40, "Young Adult", A1135&lt;60, "Senior Adult", A1135&gt;=60, "Elderly")</f>
        <v>Senior Adult</v>
      </c>
    </row>
    <row r="1136" spans="1:8" x14ac:dyDescent="0.25">
      <c r="A1136" s="1">
        <v>28</v>
      </c>
      <c r="B1136" t="s">
        <v>8</v>
      </c>
      <c r="C1136" s="2">
        <v>33.799999999999997</v>
      </c>
      <c r="D1136" s="1">
        <v>0</v>
      </c>
      <c r="E1136" t="s">
        <v>10</v>
      </c>
      <c r="F1136" t="s">
        <v>13</v>
      </c>
      <c r="G1136" s="3">
        <v>19673.34</v>
      </c>
      <c r="H1136" t="str" cm="1">
        <f t="array" ref="H1136">_xlfn.IFS(A1136&lt;13, "Child", A1136&lt;20, "Teenager", A1136&lt;40, "Young Adult", A1136&lt;60, "Senior Adult", A1136&gt;=60, "Elderly")</f>
        <v>Young Adult</v>
      </c>
    </row>
    <row r="1137" spans="1:8" x14ac:dyDescent="0.25">
      <c r="A1137" s="1">
        <v>50</v>
      </c>
      <c r="B1137" t="s">
        <v>7</v>
      </c>
      <c r="C1137" s="2">
        <v>28.1</v>
      </c>
      <c r="D1137" s="1">
        <v>3</v>
      </c>
      <c r="E1137" t="s">
        <v>10</v>
      </c>
      <c r="F1137" t="s">
        <v>13</v>
      </c>
      <c r="G1137" s="3">
        <v>11085.59</v>
      </c>
      <c r="H1137" t="str" cm="1">
        <f t="array" ref="H1137">_xlfn.IFS(A1137&lt;13, "Child", A1137&lt;20, "Teenager", A1137&lt;40, "Young Adult", A1137&lt;60, "Senior Adult", A1137&gt;=60, "Elderly")</f>
        <v>Senior Adult</v>
      </c>
    </row>
    <row r="1138" spans="1:8" x14ac:dyDescent="0.25">
      <c r="A1138" s="1">
        <v>44</v>
      </c>
      <c r="B1138" t="s">
        <v>7</v>
      </c>
      <c r="C1138" s="2">
        <v>25</v>
      </c>
      <c r="D1138" s="1">
        <v>1</v>
      </c>
      <c r="E1138" t="s">
        <v>10</v>
      </c>
      <c r="F1138" t="s">
        <v>11</v>
      </c>
      <c r="G1138" s="3">
        <v>7623.52</v>
      </c>
      <c r="H1138" t="str" cm="1">
        <f t="array" ref="H1138">_xlfn.IFS(A1138&lt;13, "Child", A1138&lt;20, "Teenager", A1138&lt;40, "Young Adult", A1138&lt;60, "Senior Adult", A1138&gt;=60, "Elderly")</f>
        <v>Senior Adult</v>
      </c>
    </row>
    <row r="1139" spans="1:8" x14ac:dyDescent="0.25">
      <c r="A1139" s="1">
        <v>26</v>
      </c>
      <c r="B1139" t="s">
        <v>7</v>
      </c>
      <c r="C1139" s="2">
        <v>22.2</v>
      </c>
      <c r="D1139" s="1">
        <v>0</v>
      </c>
      <c r="E1139" t="s">
        <v>10</v>
      </c>
      <c r="F1139" t="s">
        <v>13</v>
      </c>
      <c r="G1139" s="3">
        <v>3176.29</v>
      </c>
      <c r="H1139" t="str" cm="1">
        <f t="array" ref="H1139">_xlfn.IFS(A1139&lt;13, "Child", A1139&lt;20, "Teenager", A1139&lt;40, "Young Adult", A1139&lt;60, "Senior Adult", A1139&gt;=60, "Elderly")</f>
        <v>Young Adult</v>
      </c>
    </row>
    <row r="1140" spans="1:8" x14ac:dyDescent="0.25">
      <c r="A1140" s="1">
        <v>33</v>
      </c>
      <c r="B1140" t="s">
        <v>8</v>
      </c>
      <c r="C1140" s="2">
        <v>30.3</v>
      </c>
      <c r="D1140" s="1">
        <v>0</v>
      </c>
      <c r="E1140" t="s">
        <v>10</v>
      </c>
      <c r="F1140" t="s">
        <v>12</v>
      </c>
      <c r="G1140" s="3">
        <v>3704.35</v>
      </c>
      <c r="H1140" t="str" cm="1">
        <f t="array" ref="H1140">_xlfn.IFS(A1140&lt;13, "Child", A1140&lt;20, "Teenager", A1140&lt;40, "Young Adult", A1140&lt;60, "Senior Adult", A1140&gt;=60, "Elderly")</f>
        <v>Young Adult</v>
      </c>
    </row>
    <row r="1141" spans="1:8" x14ac:dyDescent="0.25">
      <c r="A1141" s="1">
        <v>19</v>
      </c>
      <c r="B1141" t="s">
        <v>7</v>
      </c>
      <c r="C1141" s="2">
        <v>32.5</v>
      </c>
      <c r="D1141" s="1">
        <v>0</v>
      </c>
      <c r="E1141" t="s">
        <v>9</v>
      </c>
      <c r="F1141" t="s">
        <v>13</v>
      </c>
      <c r="G1141" s="3">
        <v>36898.730000000003</v>
      </c>
      <c r="H1141" t="str" cm="1">
        <f t="array" ref="H1141">_xlfn.IFS(A1141&lt;13, "Child", A1141&lt;20, "Teenager", A1141&lt;40, "Young Adult", A1141&lt;60, "Senior Adult", A1141&gt;=60, "Elderly")</f>
        <v>Teenager</v>
      </c>
    </row>
    <row r="1142" spans="1:8" x14ac:dyDescent="0.25">
      <c r="A1142" s="1">
        <v>50</v>
      </c>
      <c r="B1142" t="s">
        <v>8</v>
      </c>
      <c r="C1142" s="2">
        <v>37.1</v>
      </c>
      <c r="D1142" s="1">
        <v>1</v>
      </c>
      <c r="E1142" t="s">
        <v>10</v>
      </c>
      <c r="F1142" t="s">
        <v>12</v>
      </c>
      <c r="G1142" s="3">
        <v>9048.0300000000007</v>
      </c>
      <c r="H1142" t="str" cm="1">
        <f t="array" ref="H1142">_xlfn.IFS(A1142&lt;13, "Child", A1142&lt;20, "Teenager", A1142&lt;40, "Young Adult", A1142&lt;60, "Senior Adult", A1142&gt;=60, "Elderly")</f>
        <v>Senior Adult</v>
      </c>
    </row>
    <row r="1143" spans="1:8" x14ac:dyDescent="0.25">
      <c r="A1143" s="1">
        <v>41</v>
      </c>
      <c r="B1143" t="s">
        <v>7</v>
      </c>
      <c r="C1143" s="2">
        <v>32.6</v>
      </c>
      <c r="D1143" s="1">
        <v>3</v>
      </c>
      <c r="E1143" t="s">
        <v>10</v>
      </c>
      <c r="F1143" t="s">
        <v>11</v>
      </c>
      <c r="G1143" s="3">
        <v>7954.52</v>
      </c>
      <c r="H1143" t="str" cm="1">
        <f t="array" ref="H1143">_xlfn.IFS(A1143&lt;13, "Child", A1143&lt;20, "Teenager", A1143&lt;40, "Young Adult", A1143&lt;60, "Senior Adult", A1143&gt;=60, "Elderly")</f>
        <v>Senior Adult</v>
      </c>
    </row>
    <row r="1144" spans="1:8" x14ac:dyDescent="0.25">
      <c r="A1144" s="1">
        <v>52</v>
      </c>
      <c r="B1144" t="s">
        <v>7</v>
      </c>
      <c r="C1144" s="2">
        <v>24.9</v>
      </c>
      <c r="D1144" s="1">
        <v>0</v>
      </c>
      <c r="E1144" t="s">
        <v>10</v>
      </c>
      <c r="F1144" t="s">
        <v>12</v>
      </c>
      <c r="G1144" s="3">
        <v>27117.99</v>
      </c>
      <c r="H1144" t="str" cm="1">
        <f t="array" ref="H1144">_xlfn.IFS(A1144&lt;13, "Child", A1144&lt;20, "Teenager", A1144&lt;40, "Young Adult", A1144&lt;60, "Senior Adult", A1144&gt;=60, "Elderly")</f>
        <v>Senior Adult</v>
      </c>
    </row>
    <row r="1145" spans="1:8" x14ac:dyDescent="0.25">
      <c r="A1145" s="1">
        <v>39</v>
      </c>
      <c r="B1145" t="s">
        <v>8</v>
      </c>
      <c r="C1145" s="2">
        <v>32.299999999999997</v>
      </c>
      <c r="D1145" s="1">
        <v>2</v>
      </c>
      <c r="E1145" t="s">
        <v>10</v>
      </c>
      <c r="F1145" t="s">
        <v>12</v>
      </c>
      <c r="G1145" s="3">
        <v>6338.08</v>
      </c>
      <c r="H1145" t="str" cm="1">
        <f t="array" ref="H1145">_xlfn.IFS(A1145&lt;13, "Child", A1145&lt;20, "Teenager", A1145&lt;40, "Young Adult", A1145&lt;60, "Senior Adult", A1145&gt;=60, "Elderly")</f>
        <v>Young Adult</v>
      </c>
    </row>
    <row r="1146" spans="1:8" x14ac:dyDescent="0.25">
      <c r="A1146" s="1">
        <v>50</v>
      </c>
      <c r="B1146" t="s">
        <v>8</v>
      </c>
      <c r="C1146" s="2">
        <v>32.299999999999997</v>
      </c>
      <c r="D1146" s="1">
        <v>2</v>
      </c>
      <c r="E1146" t="s">
        <v>10</v>
      </c>
      <c r="F1146" t="s">
        <v>11</v>
      </c>
      <c r="G1146" s="3">
        <v>9630.4</v>
      </c>
      <c r="H1146" t="str" cm="1">
        <f t="array" ref="H1146">_xlfn.IFS(A1146&lt;13, "Child", A1146&lt;20, "Teenager", A1146&lt;40, "Young Adult", A1146&lt;60, "Senior Adult", A1146&gt;=60, "Elderly")</f>
        <v>Senior Adult</v>
      </c>
    </row>
    <row r="1147" spans="1:8" x14ac:dyDescent="0.25">
      <c r="A1147" s="1">
        <v>52</v>
      </c>
      <c r="B1147" t="s">
        <v>8</v>
      </c>
      <c r="C1147" s="2">
        <v>32.799999999999997</v>
      </c>
      <c r="D1147" s="1">
        <v>3</v>
      </c>
      <c r="E1147" t="s">
        <v>10</v>
      </c>
      <c r="F1147" t="s">
        <v>13</v>
      </c>
      <c r="G1147" s="3">
        <v>11289.11</v>
      </c>
      <c r="H1147" t="str" cm="1">
        <f t="array" ref="H1147">_xlfn.IFS(A1147&lt;13, "Child", A1147&lt;20, "Teenager", A1147&lt;40, "Young Adult", A1147&lt;60, "Senior Adult", A1147&gt;=60, "Elderly")</f>
        <v>Senior Adult</v>
      </c>
    </row>
    <row r="1148" spans="1:8" x14ac:dyDescent="0.25">
      <c r="A1148" s="1">
        <v>60</v>
      </c>
      <c r="B1148" t="s">
        <v>8</v>
      </c>
      <c r="C1148" s="2">
        <v>32.799999999999997</v>
      </c>
      <c r="D1148" s="1">
        <v>0</v>
      </c>
      <c r="E1148" t="s">
        <v>9</v>
      </c>
      <c r="F1148" t="s">
        <v>11</v>
      </c>
      <c r="G1148" s="3">
        <v>52590.83</v>
      </c>
      <c r="H1148" t="str" cm="1">
        <f t="array" ref="H1148">_xlfn.IFS(A1148&lt;13, "Child", A1148&lt;20, "Teenager", A1148&lt;40, "Young Adult", A1148&lt;60, "Senior Adult", A1148&gt;=60, "Elderly")</f>
        <v>Elderly</v>
      </c>
    </row>
    <row r="1149" spans="1:8" x14ac:dyDescent="0.25">
      <c r="A1149" s="1">
        <v>20</v>
      </c>
      <c r="B1149" t="s">
        <v>7</v>
      </c>
      <c r="C1149" s="2">
        <v>31.9</v>
      </c>
      <c r="D1149" s="1">
        <v>0</v>
      </c>
      <c r="E1149" t="s">
        <v>10</v>
      </c>
      <c r="F1149" t="s">
        <v>13</v>
      </c>
      <c r="G1149" s="3">
        <v>2261.5700000000002</v>
      </c>
      <c r="H1149" t="str" cm="1">
        <f t="array" ref="H1149">_xlfn.IFS(A1149&lt;13, "Child", A1149&lt;20, "Teenager", A1149&lt;40, "Young Adult", A1149&lt;60, "Senior Adult", A1149&gt;=60, "Elderly")</f>
        <v>Young Adult</v>
      </c>
    </row>
    <row r="1150" spans="1:8" x14ac:dyDescent="0.25">
      <c r="A1150" s="1">
        <v>55</v>
      </c>
      <c r="B1150" t="s">
        <v>8</v>
      </c>
      <c r="C1150" s="2">
        <v>21.5</v>
      </c>
      <c r="D1150" s="1">
        <v>1</v>
      </c>
      <c r="E1150" t="s">
        <v>10</v>
      </c>
      <c r="F1150" t="s">
        <v>11</v>
      </c>
      <c r="G1150" s="3">
        <v>10791.96</v>
      </c>
      <c r="H1150" t="str" cm="1">
        <f t="array" ref="H1150">_xlfn.IFS(A1150&lt;13, "Child", A1150&lt;20, "Teenager", A1150&lt;40, "Young Adult", A1150&lt;60, "Senior Adult", A1150&gt;=60, "Elderly")</f>
        <v>Senior Adult</v>
      </c>
    </row>
    <row r="1151" spans="1:8" x14ac:dyDescent="0.25">
      <c r="A1151" s="1">
        <v>42</v>
      </c>
      <c r="B1151" t="s">
        <v>8</v>
      </c>
      <c r="C1151" s="2">
        <v>34.1</v>
      </c>
      <c r="D1151" s="1">
        <v>0</v>
      </c>
      <c r="E1151" t="s">
        <v>10</v>
      </c>
      <c r="F1151" t="s">
        <v>11</v>
      </c>
      <c r="G1151" s="3">
        <v>5979.73</v>
      </c>
      <c r="H1151" t="str" cm="1">
        <f t="array" ref="H1151">_xlfn.IFS(A1151&lt;13, "Child", A1151&lt;20, "Teenager", A1151&lt;40, "Young Adult", A1151&lt;60, "Senior Adult", A1151&gt;=60, "Elderly")</f>
        <v>Senior Adult</v>
      </c>
    </row>
    <row r="1152" spans="1:8" x14ac:dyDescent="0.25">
      <c r="A1152" s="1">
        <v>18</v>
      </c>
      <c r="B1152" t="s">
        <v>7</v>
      </c>
      <c r="C1152" s="2">
        <v>30.3</v>
      </c>
      <c r="D1152" s="1">
        <v>0</v>
      </c>
      <c r="E1152" t="s">
        <v>10</v>
      </c>
      <c r="F1152" t="s">
        <v>14</v>
      </c>
      <c r="G1152" s="3">
        <v>2203.7399999999998</v>
      </c>
      <c r="H1152" t="str" cm="1">
        <f t="array" ref="H1152">_xlfn.IFS(A1152&lt;13, "Child", A1152&lt;20, "Teenager", A1152&lt;40, "Young Adult", A1152&lt;60, "Senior Adult", A1152&gt;=60, "Elderly")</f>
        <v>Teenager</v>
      </c>
    </row>
    <row r="1153" spans="1:8" x14ac:dyDescent="0.25">
      <c r="A1153" s="1">
        <v>58</v>
      </c>
      <c r="B1153" t="s">
        <v>7</v>
      </c>
      <c r="C1153" s="2">
        <v>36.5</v>
      </c>
      <c r="D1153" s="1">
        <v>0</v>
      </c>
      <c r="E1153" t="s">
        <v>10</v>
      </c>
      <c r="F1153" t="s">
        <v>13</v>
      </c>
      <c r="G1153" s="3">
        <v>12235.84</v>
      </c>
      <c r="H1153" t="str" cm="1">
        <f t="array" ref="H1153">_xlfn.IFS(A1153&lt;13, "Child", A1153&lt;20, "Teenager", A1153&lt;40, "Young Adult", A1153&lt;60, "Senior Adult", A1153&gt;=60, "Elderly")</f>
        <v>Senior Adult</v>
      </c>
    </row>
    <row r="1154" spans="1:8" x14ac:dyDescent="0.25">
      <c r="A1154" s="1">
        <v>43</v>
      </c>
      <c r="B1154" t="s">
        <v>7</v>
      </c>
      <c r="C1154" s="2">
        <v>32.6</v>
      </c>
      <c r="D1154" s="1">
        <v>3</v>
      </c>
      <c r="E1154" t="s">
        <v>9</v>
      </c>
      <c r="F1154" t="s">
        <v>12</v>
      </c>
      <c r="G1154" s="3">
        <v>40941.29</v>
      </c>
      <c r="H1154" t="str" cm="1">
        <f t="array" ref="H1154">_xlfn.IFS(A1154&lt;13, "Child", A1154&lt;20, "Teenager", A1154&lt;40, "Young Adult", A1154&lt;60, "Senior Adult", A1154&gt;=60, "Elderly")</f>
        <v>Senior Adult</v>
      </c>
    </row>
    <row r="1155" spans="1:8" x14ac:dyDescent="0.25">
      <c r="A1155" s="1">
        <v>35</v>
      </c>
      <c r="B1155" t="s">
        <v>7</v>
      </c>
      <c r="C1155" s="2">
        <v>35.799999999999997</v>
      </c>
      <c r="D1155" s="1">
        <v>1</v>
      </c>
      <c r="E1155" t="s">
        <v>10</v>
      </c>
      <c r="F1155" t="s">
        <v>13</v>
      </c>
      <c r="G1155" s="3">
        <v>5630.46</v>
      </c>
      <c r="H1155" t="str" cm="1">
        <f t="array" ref="H1155">_xlfn.IFS(A1155&lt;13, "Child", A1155&lt;20, "Teenager", A1155&lt;40, "Young Adult", A1155&lt;60, "Senior Adult", A1155&gt;=60, "Elderly")</f>
        <v>Young Adult</v>
      </c>
    </row>
    <row r="1156" spans="1:8" x14ac:dyDescent="0.25">
      <c r="A1156" s="1">
        <v>48</v>
      </c>
      <c r="B1156" t="s">
        <v>7</v>
      </c>
      <c r="C1156" s="2">
        <v>27.9</v>
      </c>
      <c r="D1156" s="1">
        <v>4</v>
      </c>
      <c r="E1156" t="s">
        <v>10</v>
      </c>
      <c r="F1156" t="s">
        <v>13</v>
      </c>
      <c r="G1156" s="3">
        <v>11015.17</v>
      </c>
      <c r="H1156" t="str" cm="1">
        <f t="array" ref="H1156">_xlfn.IFS(A1156&lt;13, "Child", A1156&lt;20, "Teenager", A1156&lt;40, "Young Adult", A1156&lt;60, "Senior Adult", A1156&gt;=60, "Elderly")</f>
        <v>Senior Adult</v>
      </c>
    </row>
    <row r="1157" spans="1:8" x14ac:dyDescent="0.25">
      <c r="A1157" s="1">
        <v>36</v>
      </c>
      <c r="B1157" t="s">
        <v>7</v>
      </c>
      <c r="C1157" s="2">
        <v>22.1</v>
      </c>
      <c r="D1157" s="1">
        <v>3</v>
      </c>
      <c r="E1157" t="s">
        <v>10</v>
      </c>
      <c r="F1157" t="s">
        <v>14</v>
      </c>
      <c r="G1157" s="3">
        <v>7228.22</v>
      </c>
      <c r="H1157" t="str" cm="1">
        <f t="array" ref="H1157">_xlfn.IFS(A1157&lt;13, "Child", A1157&lt;20, "Teenager", A1157&lt;40, "Young Adult", A1157&lt;60, "Senior Adult", A1157&gt;=60, "Elderly")</f>
        <v>Young Adult</v>
      </c>
    </row>
    <row r="1158" spans="1:8" x14ac:dyDescent="0.25">
      <c r="A1158" s="1">
        <v>19</v>
      </c>
      <c r="B1158" t="s">
        <v>8</v>
      </c>
      <c r="C1158" s="2">
        <v>44.9</v>
      </c>
      <c r="D1158" s="1">
        <v>0</v>
      </c>
      <c r="E1158" t="s">
        <v>9</v>
      </c>
      <c r="F1158" t="s">
        <v>12</v>
      </c>
      <c r="G1158" s="3">
        <v>39722.75</v>
      </c>
      <c r="H1158" t="str" cm="1">
        <f t="array" ref="H1158">_xlfn.IFS(A1158&lt;13, "Child", A1158&lt;20, "Teenager", A1158&lt;40, "Young Adult", A1158&lt;60, "Senior Adult", A1158&gt;=60, "Elderly")</f>
        <v>Teenager</v>
      </c>
    </row>
    <row r="1159" spans="1:8" x14ac:dyDescent="0.25">
      <c r="A1159" s="1">
        <v>23</v>
      </c>
      <c r="B1159" t="s">
        <v>7</v>
      </c>
      <c r="C1159" s="2">
        <v>23.2</v>
      </c>
      <c r="D1159" s="1">
        <v>2</v>
      </c>
      <c r="E1159" t="s">
        <v>10</v>
      </c>
      <c r="F1159" t="s">
        <v>13</v>
      </c>
      <c r="G1159" s="3">
        <v>14426.07</v>
      </c>
      <c r="H1159" t="str" cm="1">
        <f t="array" ref="H1159">_xlfn.IFS(A1159&lt;13, "Child", A1159&lt;20, "Teenager", A1159&lt;40, "Young Adult", A1159&lt;60, "Senior Adult", A1159&gt;=60, "Elderly")</f>
        <v>Young Adult</v>
      </c>
    </row>
    <row r="1160" spans="1:8" x14ac:dyDescent="0.25">
      <c r="A1160" s="1">
        <v>20</v>
      </c>
      <c r="B1160" t="s">
        <v>7</v>
      </c>
      <c r="C1160" s="2">
        <v>30.6</v>
      </c>
      <c r="D1160" s="1">
        <v>0</v>
      </c>
      <c r="E1160" t="s">
        <v>10</v>
      </c>
      <c r="F1160" t="s">
        <v>14</v>
      </c>
      <c r="G1160" s="3">
        <v>2459.7199999999998</v>
      </c>
      <c r="H1160" t="str" cm="1">
        <f t="array" ref="H1160">_xlfn.IFS(A1160&lt;13, "Child", A1160&lt;20, "Teenager", A1160&lt;40, "Young Adult", A1160&lt;60, "Senior Adult", A1160&gt;=60, "Elderly")</f>
        <v>Young Adult</v>
      </c>
    </row>
    <row r="1161" spans="1:8" x14ac:dyDescent="0.25">
      <c r="A1161" s="1">
        <v>32</v>
      </c>
      <c r="B1161" t="s">
        <v>7</v>
      </c>
      <c r="C1161" s="2">
        <v>41.1</v>
      </c>
      <c r="D1161" s="1">
        <v>0</v>
      </c>
      <c r="E1161" t="s">
        <v>10</v>
      </c>
      <c r="F1161" t="s">
        <v>11</v>
      </c>
      <c r="G1161" s="3">
        <v>3989.84</v>
      </c>
      <c r="H1161" t="str" cm="1">
        <f t="array" ref="H1161">_xlfn.IFS(A1161&lt;13, "Child", A1161&lt;20, "Teenager", A1161&lt;40, "Young Adult", A1161&lt;60, "Senior Adult", A1161&gt;=60, "Elderly")</f>
        <v>Young Adult</v>
      </c>
    </row>
    <row r="1162" spans="1:8" x14ac:dyDescent="0.25">
      <c r="A1162" s="1">
        <v>43</v>
      </c>
      <c r="B1162" t="s">
        <v>7</v>
      </c>
      <c r="C1162" s="2">
        <v>34.6</v>
      </c>
      <c r="D1162" s="1">
        <v>1</v>
      </c>
      <c r="E1162" t="s">
        <v>10</v>
      </c>
      <c r="F1162" t="s">
        <v>13</v>
      </c>
      <c r="G1162" s="3">
        <v>7727.25</v>
      </c>
      <c r="H1162" t="str" cm="1">
        <f t="array" ref="H1162">_xlfn.IFS(A1162&lt;13, "Child", A1162&lt;20, "Teenager", A1162&lt;40, "Young Adult", A1162&lt;60, "Senior Adult", A1162&gt;=60, "Elderly")</f>
        <v>Senior Adult</v>
      </c>
    </row>
    <row r="1163" spans="1:8" x14ac:dyDescent="0.25">
      <c r="A1163" s="1">
        <v>34</v>
      </c>
      <c r="B1163" t="s">
        <v>8</v>
      </c>
      <c r="C1163" s="2">
        <v>42.1</v>
      </c>
      <c r="D1163" s="1">
        <v>2</v>
      </c>
      <c r="E1163" t="s">
        <v>10</v>
      </c>
      <c r="F1163" t="s">
        <v>12</v>
      </c>
      <c r="G1163" s="3">
        <v>5124.1899999999996</v>
      </c>
      <c r="H1163" t="str" cm="1">
        <f t="array" ref="H1163">_xlfn.IFS(A1163&lt;13, "Child", A1163&lt;20, "Teenager", A1163&lt;40, "Young Adult", A1163&lt;60, "Senior Adult", A1163&gt;=60, "Elderly")</f>
        <v>Young Adult</v>
      </c>
    </row>
    <row r="1164" spans="1:8" x14ac:dyDescent="0.25">
      <c r="A1164" s="1">
        <v>30</v>
      </c>
      <c r="B1164" t="s">
        <v>8</v>
      </c>
      <c r="C1164" s="2">
        <v>38.799999999999997</v>
      </c>
      <c r="D1164" s="1">
        <v>1</v>
      </c>
      <c r="E1164" t="s">
        <v>10</v>
      </c>
      <c r="F1164" t="s">
        <v>12</v>
      </c>
      <c r="G1164" s="3">
        <v>18963.169999999998</v>
      </c>
      <c r="H1164" t="str" cm="1">
        <f t="array" ref="H1164">_xlfn.IFS(A1164&lt;13, "Child", A1164&lt;20, "Teenager", A1164&lt;40, "Young Adult", A1164&lt;60, "Senior Adult", A1164&gt;=60, "Elderly")</f>
        <v>Young Adult</v>
      </c>
    </row>
    <row r="1165" spans="1:8" x14ac:dyDescent="0.25">
      <c r="A1165" s="1">
        <v>18</v>
      </c>
      <c r="B1165" t="s">
        <v>7</v>
      </c>
      <c r="C1165" s="2">
        <v>28.2</v>
      </c>
      <c r="D1165" s="1">
        <v>0</v>
      </c>
      <c r="E1165" t="s">
        <v>10</v>
      </c>
      <c r="F1165" t="s">
        <v>14</v>
      </c>
      <c r="G1165" s="3">
        <v>2200.83</v>
      </c>
      <c r="H1165" t="str" cm="1">
        <f t="array" ref="H1165">_xlfn.IFS(A1165&lt;13, "Child", A1165&lt;20, "Teenager", A1165&lt;40, "Young Adult", A1165&lt;60, "Senior Adult", A1165&gt;=60, "Elderly")</f>
        <v>Teenager</v>
      </c>
    </row>
    <row r="1166" spans="1:8" x14ac:dyDescent="0.25">
      <c r="A1166" s="1">
        <v>41</v>
      </c>
      <c r="B1166" t="s">
        <v>7</v>
      </c>
      <c r="C1166" s="2">
        <v>28.3</v>
      </c>
      <c r="D1166" s="1">
        <v>1</v>
      </c>
      <c r="E1166" t="s">
        <v>10</v>
      </c>
      <c r="F1166" t="s">
        <v>13</v>
      </c>
      <c r="G1166" s="3">
        <v>7153.55</v>
      </c>
      <c r="H1166" t="str" cm="1">
        <f t="array" ref="H1166">_xlfn.IFS(A1166&lt;13, "Child", A1166&lt;20, "Teenager", A1166&lt;40, "Young Adult", A1166&lt;60, "Senior Adult", A1166&gt;=60, "Elderly")</f>
        <v>Senior Adult</v>
      </c>
    </row>
    <row r="1167" spans="1:8" x14ac:dyDescent="0.25">
      <c r="A1167" s="1">
        <v>35</v>
      </c>
      <c r="B1167" t="s">
        <v>7</v>
      </c>
      <c r="C1167" s="2">
        <v>26.1</v>
      </c>
      <c r="D1167" s="1">
        <v>0</v>
      </c>
      <c r="E1167" t="s">
        <v>10</v>
      </c>
      <c r="F1167" t="s">
        <v>14</v>
      </c>
      <c r="G1167" s="3">
        <v>5227.99</v>
      </c>
      <c r="H1167" t="str" cm="1">
        <f t="array" ref="H1167">_xlfn.IFS(A1167&lt;13, "Child", A1167&lt;20, "Teenager", A1167&lt;40, "Young Adult", A1167&lt;60, "Senior Adult", A1167&gt;=60, "Elderly")</f>
        <v>Young Adult</v>
      </c>
    </row>
    <row r="1168" spans="1:8" x14ac:dyDescent="0.25">
      <c r="A1168" s="1">
        <v>57</v>
      </c>
      <c r="B1168" t="s">
        <v>8</v>
      </c>
      <c r="C1168" s="2">
        <v>40.4</v>
      </c>
      <c r="D1168" s="1">
        <v>0</v>
      </c>
      <c r="E1168" t="s">
        <v>10</v>
      </c>
      <c r="F1168" t="s">
        <v>12</v>
      </c>
      <c r="G1168" s="3">
        <v>10982.5</v>
      </c>
      <c r="H1168" t="str" cm="1">
        <f t="array" ref="H1168">_xlfn.IFS(A1168&lt;13, "Child", A1168&lt;20, "Teenager", A1168&lt;40, "Young Adult", A1168&lt;60, "Senior Adult", A1168&gt;=60, "Elderly")</f>
        <v>Senior Adult</v>
      </c>
    </row>
    <row r="1169" spans="1:8" x14ac:dyDescent="0.25">
      <c r="A1169" s="1">
        <v>29</v>
      </c>
      <c r="B1169" t="s">
        <v>7</v>
      </c>
      <c r="C1169" s="2">
        <v>24.6</v>
      </c>
      <c r="D1169" s="1">
        <v>2</v>
      </c>
      <c r="E1169" t="s">
        <v>10</v>
      </c>
      <c r="F1169" t="s">
        <v>11</v>
      </c>
      <c r="G1169" s="3">
        <v>4529.4799999999996</v>
      </c>
      <c r="H1169" t="str" cm="1">
        <f t="array" ref="H1169">_xlfn.IFS(A1169&lt;13, "Child", A1169&lt;20, "Teenager", A1169&lt;40, "Young Adult", A1169&lt;60, "Senior Adult", A1169&gt;=60, "Elderly")</f>
        <v>Young Adult</v>
      </c>
    </row>
    <row r="1170" spans="1:8" x14ac:dyDescent="0.25">
      <c r="A1170" s="1">
        <v>32</v>
      </c>
      <c r="B1170" t="s">
        <v>8</v>
      </c>
      <c r="C1170" s="2">
        <v>35.200000000000003</v>
      </c>
      <c r="D1170" s="1">
        <v>2</v>
      </c>
      <c r="E1170" t="s">
        <v>10</v>
      </c>
      <c r="F1170" t="s">
        <v>11</v>
      </c>
      <c r="G1170" s="3">
        <v>4670.6400000000003</v>
      </c>
      <c r="H1170" t="str" cm="1">
        <f t="array" ref="H1170">_xlfn.IFS(A1170&lt;13, "Child", A1170&lt;20, "Teenager", A1170&lt;40, "Young Adult", A1170&lt;60, "Senior Adult", A1170&gt;=60, "Elderly")</f>
        <v>Young Adult</v>
      </c>
    </row>
    <row r="1171" spans="1:8" x14ac:dyDescent="0.25">
      <c r="A1171" s="1">
        <v>37</v>
      </c>
      <c r="B1171" t="s">
        <v>7</v>
      </c>
      <c r="C1171" s="2">
        <v>34.1</v>
      </c>
      <c r="D1171" s="1">
        <v>1</v>
      </c>
      <c r="E1171" t="s">
        <v>10</v>
      </c>
      <c r="F1171" t="s">
        <v>13</v>
      </c>
      <c r="G1171" s="3">
        <v>6112.35</v>
      </c>
      <c r="H1171" t="str" cm="1">
        <f t="array" ref="H1171">_xlfn.IFS(A1171&lt;13, "Child", A1171&lt;20, "Teenager", A1171&lt;40, "Young Adult", A1171&lt;60, "Senior Adult", A1171&gt;=60, "Elderly")</f>
        <v>Young Adult</v>
      </c>
    </row>
    <row r="1172" spans="1:8" x14ac:dyDescent="0.25">
      <c r="A1172" s="1">
        <v>18</v>
      </c>
      <c r="B1172" t="s">
        <v>8</v>
      </c>
      <c r="C1172" s="2">
        <v>27.4</v>
      </c>
      <c r="D1172" s="1">
        <v>1</v>
      </c>
      <c r="E1172" t="s">
        <v>9</v>
      </c>
      <c r="F1172" t="s">
        <v>14</v>
      </c>
      <c r="G1172" s="3">
        <v>17178.68</v>
      </c>
      <c r="H1172" t="str" cm="1">
        <f t="array" ref="H1172">_xlfn.IFS(A1172&lt;13, "Child", A1172&lt;20, "Teenager", A1172&lt;40, "Young Adult", A1172&lt;60, "Senior Adult", A1172&gt;=60, "Elderly")</f>
        <v>Teenager</v>
      </c>
    </row>
    <row r="1173" spans="1:8" x14ac:dyDescent="0.25">
      <c r="A1173" s="1">
        <v>43</v>
      </c>
      <c r="B1173" t="s">
        <v>7</v>
      </c>
      <c r="C1173" s="2">
        <v>26.7</v>
      </c>
      <c r="D1173" s="1">
        <v>2</v>
      </c>
      <c r="E1173" t="s">
        <v>9</v>
      </c>
      <c r="F1173" t="s">
        <v>11</v>
      </c>
      <c r="G1173" s="3">
        <v>22478.6</v>
      </c>
      <c r="H1173" t="str" cm="1">
        <f t="array" ref="H1173">_xlfn.IFS(A1173&lt;13, "Child", A1173&lt;20, "Teenager", A1173&lt;40, "Young Adult", A1173&lt;60, "Senior Adult", A1173&gt;=60, "Elderly")</f>
        <v>Senior Adult</v>
      </c>
    </row>
    <row r="1174" spans="1:8" x14ac:dyDescent="0.25">
      <c r="A1174" s="1">
        <v>56</v>
      </c>
      <c r="B1174" t="s">
        <v>7</v>
      </c>
      <c r="C1174" s="2">
        <v>41.9</v>
      </c>
      <c r="D1174" s="1">
        <v>0</v>
      </c>
      <c r="E1174" t="s">
        <v>10</v>
      </c>
      <c r="F1174" t="s">
        <v>12</v>
      </c>
      <c r="G1174" s="3">
        <v>11093.62</v>
      </c>
      <c r="H1174" t="str" cm="1">
        <f t="array" ref="H1174">_xlfn.IFS(A1174&lt;13, "Child", A1174&lt;20, "Teenager", A1174&lt;40, "Young Adult", A1174&lt;60, "Senior Adult", A1174&gt;=60, "Elderly")</f>
        <v>Senior Adult</v>
      </c>
    </row>
    <row r="1175" spans="1:8" x14ac:dyDescent="0.25">
      <c r="A1175" s="1">
        <v>38</v>
      </c>
      <c r="B1175" t="s">
        <v>8</v>
      </c>
      <c r="C1175" s="2">
        <v>29.3</v>
      </c>
      <c r="D1175" s="1">
        <v>2</v>
      </c>
      <c r="E1175" t="s">
        <v>10</v>
      </c>
      <c r="F1175" t="s">
        <v>13</v>
      </c>
      <c r="G1175" s="3">
        <v>6457.84</v>
      </c>
      <c r="H1175" t="str" cm="1">
        <f t="array" ref="H1175">_xlfn.IFS(A1175&lt;13, "Child", A1175&lt;20, "Teenager", A1175&lt;40, "Young Adult", A1175&lt;60, "Senior Adult", A1175&gt;=60, "Elderly")</f>
        <v>Young Adult</v>
      </c>
    </row>
    <row r="1176" spans="1:8" x14ac:dyDescent="0.25">
      <c r="A1176" s="1">
        <v>29</v>
      </c>
      <c r="B1176" t="s">
        <v>8</v>
      </c>
      <c r="C1176" s="2">
        <v>32.1</v>
      </c>
      <c r="D1176" s="1">
        <v>2</v>
      </c>
      <c r="E1176" t="s">
        <v>10</v>
      </c>
      <c r="F1176" t="s">
        <v>13</v>
      </c>
      <c r="G1176" s="3">
        <v>4433.92</v>
      </c>
      <c r="H1176" t="str" cm="1">
        <f t="array" ref="H1176">_xlfn.IFS(A1176&lt;13, "Child", A1176&lt;20, "Teenager", A1176&lt;40, "Young Adult", A1176&lt;60, "Senior Adult", A1176&gt;=60, "Elderly")</f>
        <v>Young Adult</v>
      </c>
    </row>
    <row r="1177" spans="1:8" x14ac:dyDescent="0.25">
      <c r="A1177" s="1">
        <v>22</v>
      </c>
      <c r="B1177" t="s">
        <v>7</v>
      </c>
      <c r="C1177" s="2">
        <v>27.1</v>
      </c>
      <c r="D1177" s="1">
        <v>0</v>
      </c>
      <c r="E1177" t="s">
        <v>10</v>
      </c>
      <c r="F1177" t="s">
        <v>11</v>
      </c>
      <c r="G1177" s="3">
        <v>2154.36</v>
      </c>
      <c r="H1177" t="str" cm="1">
        <f t="array" ref="H1177">_xlfn.IFS(A1177&lt;13, "Child", A1177&lt;20, "Teenager", A1177&lt;40, "Young Adult", A1177&lt;60, "Senior Adult", A1177&gt;=60, "Elderly")</f>
        <v>Young Adult</v>
      </c>
    </row>
    <row r="1178" spans="1:8" x14ac:dyDescent="0.25">
      <c r="A1178" s="1">
        <v>52</v>
      </c>
      <c r="B1178" t="s">
        <v>7</v>
      </c>
      <c r="C1178" s="2">
        <v>24.1</v>
      </c>
      <c r="D1178" s="1">
        <v>1</v>
      </c>
      <c r="E1178" t="s">
        <v>9</v>
      </c>
      <c r="F1178" t="s">
        <v>13</v>
      </c>
      <c r="G1178" s="3">
        <v>23887.66</v>
      </c>
      <c r="H1178" t="str" cm="1">
        <f t="array" ref="H1178">_xlfn.IFS(A1178&lt;13, "Child", A1178&lt;20, "Teenager", A1178&lt;40, "Young Adult", A1178&lt;60, "Senior Adult", A1178&gt;=60, "Elderly")</f>
        <v>Senior Adult</v>
      </c>
    </row>
    <row r="1179" spans="1:8" x14ac:dyDescent="0.25">
      <c r="A1179" s="1">
        <v>40</v>
      </c>
      <c r="B1179" t="s">
        <v>7</v>
      </c>
      <c r="C1179" s="2">
        <v>27.4</v>
      </c>
      <c r="D1179" s="1">
        <v>1</v>
      </c>
      <c r="E1179" t="s">
        <v>10</v>
      </c>
      <c r="F1179" t="s">
        <v>11</v>
      </c>
      <c r="G1179" s="3">
        <v>6496.89</v>
      </c>
      <c r="H1179" t="str" cm="1">
        <f t="array" ref="H1179">_xlfn.IFS(A1179&lt;13, "Child", A1179&lt;20, "Teenager", A1179&lt;40, "Young Adult", A1179&lt;60, "Senior Adult", A1179&gt;=60, "Elderly")</f>
        <v>Senior Adult</v>
      </c>
    </row>
    <row r="1180" spans="1:8" x14ac:dyDescent="0.25">
      <c r="A1180" s="1">
        <v>23</v>
      </c>
      <c r="B1180" t="s">
        <v>7</v>
      </c>
      <c r="C1180" s="2">
        <v>34.9</v>
      </c>
      <c r="D1180" s="1">
        <v>0</v>
      </c>
      <c r="E1180" t="s">
        <v>10</v>
      </c>
      <c r="F1180" t="s">
        <v>14</v>
      </c>
      <c r="G1180" s="3">
        <v>2899.49</v>
      </c>
      <c r="H1180" t="str" cm="1">
        <f t="array" ref="H1180">_xlfn.IFS(A1180&lt;13, "Child", A1180&lt;20, "Teenager", A1180&lt;40, "Young Adult", A1180&lt;60, "Senior Adult", A1180&gt;=60, "Elderly")</f>
        <v>Young Adult</v>
      </c>
    </row>
    <row r="1181" spans="1:8" x14ac:dyDescent="0.25">
      <c r="A1181" s="1">
        <v>31</v>
      </c>
      <c r="B1181" t="s">
        <v>8</v>
      </c>
      <c r="C1181" s="2">
        <v>29.8</v>
      </c>
      <c r="D1181" s="1">
        <v>0</v>
      </c>
      <c r="E1181" t="s">
        <v>9</v>
      </c>
      <c r="F1181" t="s">
        <v>12</v>
      </c>
      <c r="G1181" s="3">
        <v>19350.37</v>
      </c>
      <c r="H1181" t="str" cm="1">
        <f t="array" ref="H1181">_xlfn.IFS(A1181&lt;13, "Child", A1181&lt;20, "Teenager", A1181&lt;40, "Young Adult", A1181&lt;60, "Senior Adult", A1181&gt;=60, "Elderly")</f>
        <v>Young Adult</v>
      </c>
    </row>
    <row r="1182" spans="1:8" x14ac:dyDescent="0.25">
      <c r="A1182" s="1">
        <v>42</v>
      </c>
      <c r="B1182" t="s">
        <v>7</v>
      </c>
      <c r="C1182" s="2">
        <v>41.3</v>
      </c>
      <c r="D1182" s="1">
        <v>1</v>
      </c>
      <c r="E1182" t="s">
        <v>10</v>
      </c>
      <c r="F1182" t="s">
        <v>14</v>
      </c>
      <c r="G1182" s="3">
        <v>7650.77</v>
      </c>
      <c r="H1182" t="str" cm="1">
        <f t="array" ref="H1182">_xlfn.IFS(A1182&lt;13, "Child", A1182&lt;20, "Teenager", A1182&lt;40, "Young Adult", A1182&lt;60, "Senior Adult", A1182&gt;=60, "Elderly")</f>
        <v>Senior Adult</v>
      </c>
    </row>
    <row r="1183" spans="1:8" x14ac:dyDescent="0.25">
      <c r="A1183" s="1">
        <v>24</v>
      </c>
      <c r="B1183" t="s">
        <v>7</v>
      </c>
      <c r="C1183" s="2">
        <v>29.9</v>
      </c>
      <c r="D1183" s="1">
        <v>0</v>
      </c>
      <c r="E1183" t="s">
        <v>10</v>
      </c>
      <c r="F1183" t="s">
        <v>13</v>
      </c>
      <c r="G1183" s="3">
        <v>2850.68</v>
      </c>
      <c r="H1183" t="str" cm="1">
        <f t="array" ref="H1183">_xlfn.IFS(A1183&lt;13, "Child", A1183&lt;20, "Teenager", A1183&lt;40, "Young Adult", A1183&lt;60, "Senior Adult", A1183&gt;=60, "Elderly")</f>
        <v>Young Adult</v>
      </c>
    </row>
    <row r="1184" spans="1:8" x14ac:dyDescent="0.25">
      <c r="A1184" s="1">
        <v>25</v>
      </c>
      <c r="B1184" t="s">
        <v>7</v>
      </c>
      <c r="C1184" s="2">
        <v>30.3</v>
      </c>
      <c r="D1184" s="1">
        <v>0</v>
      </c>
      <c r="E1184" t="s">
        <v>10</v>
      </c>
      <c r="F1184" t="s">
        <v>11</v>
      </c>
      <c r="G1184" s="3">
        <v>2632.99</v>
      </c>
      <c r="H1184" t="str" cm="1">
        <f t="array" ref="H1184">_xlfn.IFS(A1184&lt;13, "Child", A1184&lt;20, "Teenager", A1184&lt;40, "Young Adult", A1184&lt;60, "Senior Adult", A1184&gt;=60, "Elderly")</f>
        <v>Young Adult</v>
      </c>
    </row>
    <row r="1185" spans="1:8" x14ac:dyDescent="0.25">
      <c r="A1185" s="1">
        <v>48</v>
      </c>
      <c r="B1185" t="s">
        <v>7</v>
      </c>
      <c r="C1185" s="2">
        <v>27.4</v>
      </c>
      <c r="D1185" s="1">
        <v>1</v>
      </c>
      <c r="E1185" t="s">
        <v>10</v>
      </c>
      <c r="F1185" t="s">
        <v>14</v>
      </c>
      <c r="G1185" s="3">
        <v>9447.3799999999992</v>
      </c>
      <c r="H1185" t="str" cm="1">
        <f t="array" ref="H1185">_xlfn.IFS(A1185&lt;13, "Child", A1185&lt;20, "Teenager", A1185&lt;40, "Young Adult", A1185&lt;60, "Senior Adult", A1185&gt;=60, "Elderly")</f>
        <v>Senior Adult</v>
      </c>
    </row>
    <row r="1186" spans="1:8" x14ac:dyDescent="0.25">
      <c r="A1186" s="1">
        <v>23</v>
      </c>
      <c r="B1186" t="s">
        <v>7</v>
      </c>
      <c r="C1186" s="2">
        <v>28.5</v>
      </c>
      <c r="D1186" s="1">
        <v>1</v>
      </c>
      <c r="E1186" t="s">
        <v>9</v>
      </c>
      <c r="F1186" t="s">
        <v>12</v>
      </c>
      <c r="G1186" s="3">
        <v>18328.240000000002</v>
      </c>
      <c r="H1186" t="str" cm="1">
        <f t="array" ref="H1186">_xlfn.IFS(A1186&lt;13, "Child", A1186&lt;20, "Teenager", A1186&lt;40, "Young Adult", A1186&lt;60, "Senior Adult", A1186&gt;=60, "Elderly")</f>
        <v>Young Adult</v>
      </c>
    </row>
    <row r="1187" spans="1:8" x14ac:dyDescent="0.25">
      <c r="A1187" s="1">
        <v>45</v>
      </c>
      <c r="B1187" t="s">
        <v>8</v>
      </c>
      <c r="C1187" s="2">
        <v>23.6</v>
      </c>
      <c r="D1187" s="1">
        <v>2</v>
      </c>
      <c r="E1187" t="s">
        <v>10</v>
      </c>
      <c r="F1187" t="s">
        <v>14</v>
      </c>
      <c r="G1187" s="3">
        <v>8603.82</v>
      </c>
      <c r="H1187" t="str" cm="1">
        <f t="array" ref="H1187">_xlfn.IFS(A1187&lt;13, "Child", A1187&lt;20, "Teenager", A1187&lt;40, "Young Adult", A1187&lt;60, "Senior Adult", A1187&gt;=60, "Elderly")</f>
        <v>Senior Adult</v>
      </c>
    </row>
    <row r="1188" spans="1:8" x14ac:dyDescent="0.25">
      <c r="A1188" s="1">
        <v>20</v>
      </c>
      <c r="B1188" t="s">
        <v>8</v>
      </c>
      <c r="C1188" s="2">
        <v>35.6</v>
      </c>
      <c r="D1188" s="1">
        <v>3</v>
      </c>
      <c r="E1188" t="s">
        <v>9</v>
      </c>
      <c r="F1188" t="s">
        <v>13</v>
      </c>
      <c r="G1188" s="3">
        <v>37465.339999999997</v>
      </c>
      <c r="H1188" t="str" cm="1">
        <f t="array" ref="H1188">_xlfn.IFS(A1188&lt;13, "Child", A1188&lt;20, "Teenager", A1188&lt;40, "Young Adult", A1188&lt;60, "Senior Adult", A1188&gt;=60, "Elderly")</f>
        <v>Young Adult</v>
      </c>
    </row>
    <row r="1189" spans="1:8" x14ac:dyDescent="0.25">
      <c r="A1189" s="1">
        <v>62</v>
      </c>
      <c r="B1189" t="s">
        <v>7</v>
      </c>
      <c r="C1189" s="2">
        <v>32.700000000000003</v>
      </c>
      <c r="D1189" s="1">
        <v>0</v>
      </c>
      <c r="E1189" t="s">
        <v>10</v>
      </c>
      <c r="F1189" t="s">
        <v>13</v>
      </c>
      <c r="G1189" s="3">
        <v>13844.8</v>
      </c>
      <c r="H1189" t="str" cm="1">
        <f t="array" ref="H1189">_xlfn.IFS(A1189&lt;13, "Child", A1189&lt;20, "Teenager", A1189&lt;40, "Young Adult", A1189&lt;60, "Senior Adult", A1189&gt;=60, "Elderly")</f>
        <v>Elderly</v>
      </c>
    </row>
    <row r="1190" spans="1:8" x14ac:dyDescent="0.25">
      <c r="A1190" s="1">
        <v>43</v>
      </c>
      <c r="B1190" t="s">
        <v>7</v>
      </c>
      <c r="C1190" s="2">
        <v>25.3</v>
      </c>
      <c r="D1190" s="1">
        <v>1</v>
      </c>
      <c r="E1190" t="s">
        <v>9</v>
      </c>
      <c r="F1190" t="s">
        <v>14</v>
      </c>
      <c r="G1190" s="3">
        <v>21771.34</v>
      </c>
      <c r="H1190" t="str" cm="1">
        <f t="array" ref="H1190">_xlfn.IFS(A1190&lt;13, "Child", A1190&lt;20, "Teenager", A1190&lt;40, "Young Adult", A1190&lt;60, "Senior Adult", A1190&gt;=60, "Elderly")</f>
        <v>Senior Adult</v>
      </c>
    </row>
    <row r="1191" spans="1:8" x14ac:dyDescent="0.25">
      <c r="A1191" s="1">
        <v>23</v>
      </c>
      <c r="B1191" t="s">
        <v>7</v>
      </c>
      <c r="C1191" s="2">
        <v>28</v>
      </c>
      <c r="D1191" s="1">
        <v>0</v>
      </c>
      <c r="E1191" t="s">
        <v>10</v>
      </c>
      <c r="F1191" t="s">
        <v>11</v>
      </c>
      <c r="G1191" s="3">
        <v>13126.68</v>
      </c>
      <c r="H1191" t="str" cm="1">
        <f t="array" ref="H1191">_xlfn.IFS(A1191&lt;13, "Child", A1191&lt;20, "Teenager", A1191&lt;40, "Young Adult", A1191&lt;60, "Senior Adult", A1191&gt;=60, "Elderly")</f>
        <v>Young Adult</v>
      </c>
    </row>
    <row r="1192" spans="1:8" x14ac:dyDescent="0.25">
      <c r="A1192" s="1">
        <v>31</v>
      </c>
      <c r="B1192" t="s">
        <v>7</v>
      </c>
      <c r="C1192" s="2">
        <v>32.799999999999997</v>
      </c>
      <c r="D1192" s="1">
        <v>2</v>
      </c>
      <c r="E1192" t="s">
        <v>10</v>
      </c>
      <c r="F1192" t="s">
        <v>13</v>
      </c>
      <c r="G1192" s="3">
        <v>5327.4</v>
      </c>
      <c r="H1192" t="str" cm="1">
        <f t="array" ref="H1192">_xlfn.IFS(A1192&lt;13, "Child", A1192&lt;20, "Teenager", A1192&lt;40, "Young Adult", A1192&lt;60, "Senior Adult", A1192&gt;=60, "Elderly")</f>
        <v>Young Adult</v>
      </c>
    </row>
    <row r="1193" spans="1:8" x14ac:dyDescent="0.25">
      <c r="A1193" s="1">
        <v>41</v>
      </c>
      <c r="B1193" t="s">
        <v>7</v>
      </c>
      <c r="C1193" s="2">
        <v>21.8</v>
      </c>
      <c r="D1193" s="1">
        <v>1</v>
      </c>
      <c r="E1193" t="s">
        <v>10</v>
      </c>
      <c r="F1193" t="s">
        <v>14</v>
      </c>
      <c r="G1193" s="3">
        <v>13725.47</v>
      </c>
      <c r="H1193" t="str" cm="1">
        <f t="array" ref="H1193">_xlfn.IFS(A1193&lt;13, "Child", A1193&lt;20, "Teenager", A1193&lt;40, "Young Adult", A1193&lt;60, "Senior Adult", A1193&gt;=60, "Elderly")</f>
        <v>Senior Adult</v>
      </c>
    </row>
    <row r="1194" spans="1:8" x14ac:dyDescent="0.25">
      <c r="A1194" s="1">
        <v>58</v>
      </c>
      <c r="B1194" t="s">
        <v>7</v>
      </c>
      <c r="C1194" s="2">
        <v>32.4</v>
      </c>
      <c r="D1194" s="1">
        <v>1</v>
      </c>
      <c r="E1194" t="s">
        <v>10</v>
      </c>
      <c r="F1194" t="s">
        <v>14</v>
      </c>
      <c r="G1194" s="3">
        <v>13019.16</v>
      </c>
      <c r="H1194" t="str" cm="1">
        <f t="array" ref="H1194">_xlfn.IFS(A1194&lt;13, "Child", A1194&lt;20, "Teenager", A1194&lt;40, "Young Adult", A1194&lt;60, "Senior Adult", A1194&gt;=60, "Elderly")</f>
        <v>Senior Adult</v>
      </c>
    </row>
    <row r="1195" spans="1:8" x14ac:dyDescent="0.25">
      <c r="A1195" s="1">
        <v>48</v>
      </c>
      <c r="B1195" t="s">
        <v>7</v>
      </c>
      <c r="C1195" s="2">
        <v>36.6</v>
      </c>
      <c r="D1195" s="1">
        <v>0</v>
      </c>
      <c r="E1195" t="s">
        <v>10</v>
      </c>
      <c r="F1195" t="s">
        <v>13</v>
      </c>
      <c r="G1195" s="3">
        <v>8671.19</v>
      </c>
      <c r="H1195" t="str" cm="1">
        <f t="array" ref="H1195">_xlfn.IFS(A1195&lt;13, "Child", A1195&lt;20, "Teenager", A1195&lt;40, "Young Adult", A1195&lt;60, "Senior Adult", A1195&gt;=60, "Elderly")</f>
        <v>Senior Adult</v>
      </c>
    </row>
    <row r="1196" spans="1:8" x14ac:dyDescent="0.25">
      <c r="A1196" s="1">
        <v>31</v>
      </c>
      <c r="B1196" t="s">
        <v>7</v>
      </c>
      <c r="C1196" s="2">
        <v>21.8</v>
      </c>
      <c r="D1196" s="1">
        <v>0</v>
      </c>
      <c r="E1196" t="s">
        <v>10</v>
      </c>
      <c r="F1196" t="s">
        <v>13</v>
      </c>
      <c r="G1196" s="3">
        <v>4134.08</v>
      </c>
      <c r="H1196" t="str" cm="1">
        <f t="array" ref="H1196">_xlfn.IFS(A1196&lt;13, "Child", A1196&lt;20, "Teenager", A1196&lt;40, "Young Adult", A1196&lt;60, "Senior Adult", A1196&gt;=60, "Elderly")</f>
        <v>Young Adult</v>
      </c>
    </row>
    <row r="1197" spans="1:8" x14ac:dyDescent="0.25">
      <c r="A1197" s="1">
        <v>19</v>
      </c>
      <c r="B1197" t="s">
        <v>7</v>
      </c>
      <c r="C1197" s="2">
        <v>27.9</v>
      </c>
      <c r="D1197" s="1">
        <v>3</v>
      </c>
      <c r="E1197" t="s">
        <v>10</v>
      </c>
      <c r="F1197" t="s">
        <v>13</v>
      </c>
      <c r="G1197" s="3">
        <v>18838.7</v>
      </c>
      <c r="H1197" t="str" cm="1">
        <f t="array" ref="H1197">_xlfn.IFS(A1197&lt;13, "Child", A1197&lt;20, "Teenager", A1197&lt;40, "Young Adult", A1197&lt;60, "Senior Adult", A1197&gt;=60, "Elderly")</f>
        <v>Teenager</v>
      </c>
    </row>
    <row r="1198" spans="1:8" x14ac:dyDescent="0.25">
      <c r="A1198" s="1">
        <v>19</v>
      </c>
      <c r="B1198" t="s">
        <v>7</v>
      </c>
      <c r="C1198" s="2">
        <v>30</v>
      </c>
      <c r="D1198" s="1">
        <v>0</v>
      </c>
      <c r="E1198" t="s">
        <v>9</v>
      </c>
      <c r="F1198" t="s">
        <v>13</v>
      </c>
      <c r="G1198" s="3">
        <v>33307.550000000003</v>
      </c>
      <c r="H1198" t="str" cm="1">
        <f t="array" ref="H1198">_xlfn.IFS(A1198&lt;13, "Child", A1198&lt;20, "Teenager", A1198&lt;40, "Young Adult", A1198&lt;60, "Senior Adult", A1198&gt;=60, "Elderly")</f>
        <v>Teenager</v>
      </c>
    </row>
    <row r="1199" spans="1:8" x14ac:dyDescent="0.25">
      <c r="A1199" s="1">
        <v>41</v>
      </c>
      <c r="B1199" t="s">
        <v>8</v>
      </c>
      <c r="C1199" s="2">
        <v>33.6</v>
      </c>
      <c r="D1199" s="1">
        <v>0</v>
      </c>
      <c r="E1199" t="s">
        <v>10</v>
      </c>
      <c r="F1199" t="s">
        <v>12</v>
      </c>
      <c r="G1199" s="3">
        <v>5699.84</v>
      </c>
      <c r="H1199" t="str" cm="1">
        <f t="array" ref="H1199">_xlfn.IFS(A1199&lt;13, "Child", A1199&lt;20, "Teenager", A1199&lt;40, "Young Adult", A1199&lt;60, "Senior Adult", A1199&gt;=60, "Elderly")</f>
        <v>Senior Adult</v>
      </c>
    </row>
    <row r="1200" spans="1:8" x14ac:dyDescent="0.25">
      <c r="A1200" s="1">
        <v>40</v>
      </c>
      <c r="B1200" t="s">
        <v>8</v>
      </c>
      <c r="C1200" s="2">
        <v>29.4</v>
      </c>
      <c r="D1200" s="1">
        <v>1</v>
      </c>
      <c r="E1200" t="s">
        <v>10</v>
      </c>
      <c r="F1200" t="s">
        <v>13</v>
      </c>
      <c r="G1200" s="3">
        <v>6393.6</v>
      </c>
      <c r="H1200" t="str" cm="1">
        <f t="array" ref="H1200">_xlfn.IFS(A1200&lt;13, "Child", A1200&lt;20, "Teenager", A1200&lt;40, "Young Adult", A1200&lt;60, "Senior Adult", A1200&gt;=60, "Elderly")</f>
        <v>Senior Adult</v>
      </c>
    </row>
    <row r="1201" spans="1:8" x14ac:dyDescent="0.25">
      <c r="A1201" s="1">
        <v>31</v>
      </c>
      <c r="B1201" t="s">
        <v>7</v>
      </c>
      <c r="C1201" s="2">
        <v>25.8</v>
      </c>
      <c r="D1201" s="1">
        <v>2</v>
      </c>
      <c r="E1201" t="s">
        <v>10</v>
      </c>
      <c r="F1201" t="s">
        <v>11</v>
      </c>
      <c r="G1201" s="3">
        <v>4934.71</v>
      </c>
      <c r="H1201" t="str" cm="1">
        <f t="array" ref="H1201">_xlfn.IFS(A1201&lt;13, "Child", A1201&lt;20, "Teenager", A1201&lt;40, "Young Adult", A1201&lt;60, "Senior Adult", A1201&gt;=60, "Elderly")</f>
        <v>Young Adult</v>
      </c>
    </row>
    <row r="1202" spans="1:8" x14ac:dyDescent="0.25">
      <c r="A1202" s="1">
        <v>37</v>
      </c>
      <c r="B1202" t="s">
        <v>8</v>
      </c>
      <c r="C1202" s="2">
        <v>24.3</v>
      </c>
      <c r="D1202" s="1">
        <v>2</v>
      </c>
      <c r="E1202" t="s">
        <v>10</v>
      </c>
      <c r="F1202" t="s">
        <v>13</v>
      </c>
      <c r="G1202" s="3">
        <v>6198.75</v>
      </c>
      <c r="H1202" t="str" cm="1">
        <f t="array" ref="H1202">_xlfn.IFS(A1202&lt;13, "Child", A1202&lt;20, "Teenager", A1202&lt;40, "Young Adult", A1202&lt;60, "Senior Adult", A1202&gt;=60, "Elderly")</f>
        <v>Young Adult</v>
      </c>
    </row>
    <row r="1203" spans="1:8" x14ac:dyDescent="0.25">
      <c r="A1203" s="1">
        <v>46</v>
      </c>
      <c r="B1203" t="s">
        <v>8</v>
      </c>
      <c r="C1203" s="2">
        <v>40.4</v>
      </c>
      <c r="D1203" s="1">
        <v>2</v>
      </c>
      <c r="E1203" t="s">
        <v>10</v>
      </c>
      <c r="F1203" t="s">
        <v>13</v>
      </c>
      <c r="G1203" s="3">
        <v>8733.23</v>
      </c>
      <c r="H1203" t="str" cm="1">
        <f t="array" ref="H1203">_xlfn.IFS(A1203&lt;13, "Child", A1203&lt;20, "Teenager", A1203&lt;40, "Young Adult", A1203&lt;60, "Senior Adult", A1203&gt;=60, "Elderly")</f>
        <v>Senior Adult</v>
      </c>
    </row>
    <row r="1204" spans="1:8" x14ac:dyDescent="0.25">
      <c r="A1204" s="1">
        <v>22</v>
      </c>
      <c r="B1204" t="s">
        <v>8</v>
      </c>
      <c r="C1204" s="2">
        <v>32.1</v>
      </c>
      <c r="D1204" s="1">
        <v>0</v>
      </c>
      <c r="E1204" t="s">
        <v>10</v>
      </c>
      <c r="F1204" t="s">
        <v>13</v>
      </c>
      <c r="G1204" s="3">
        <v>2055.3200000000002</v>
      </c>
      <c r="H1204" t="str" cm="1">
        <f t="array" ref="H1204">_xlfn.IFS(A1204&lt;13, "Child", A1204&lt;20, "Teenager", A1204&lt;40, "Young Adult", A1204&lt;60, "Senior Adult", A1204&gt;=60, "Elderly")</f>
        <v>Young Adult</v>
      </c>
    </row>
    <row r="1205" spans="1:8" x14ac:dyDescent="0.25">
      <c r="A1205" s="1">
        <v>51</v>
      </c>
      <c r="B1205" t="s">
        <v>8</v>
      </c>
      <c r="C1205" s="2">
        <v>32.299999999999997</v>
      </c>
      <c r="D1205" s="1">
        <v>1</v>
      </c>
      <c r="E1205" t="s">
        <v>10</v>
      </c>
      <c r="F1205" t="s">
        <v>14</v>
      </c>
      <c r="G1205" s="3">
        <v>9964.06</v>
      </c>
      <c r="H1205" t="str" cm="1">
        <f t="array" ref="H1205">_xlfn.IFS(A1205&lt;13, "Child", A1205&lt;20, "Teenager", A1205&lt;40, "Young Adult", A1205&lt;60, "Senior Adult", A1205&gt;=60, "Elderly")</f>
        <v>Senior Adult</v>
      </c>
    </row>
    <row r="1206" spans="1:8" x14ac:dyDescent="0.25">
      <c r="A1206" s="1">
        <v>18</v>
      </c>
      <c r="B1206" t="s">
        <v>7</v>
      </c>
      <c r="C1206" s="2">
        <v>27.3</v>
      </c>
      <c r="D1206" s="1">
        <v>3</v>
      </c>
      <c r="E1206" t="s">
        <v>9</v>
      </c>
      <c r="F1206" t="s">
        <v>12</v>
      </c>
      <c r="G1206" s="3">
        <v>18223.45</v>
      </c>
      <c r="H1206" t="str" cm="1">
        <f t="array" ref="H1206">_xlfn.IFS(A1206&lt;13, "Child", A1206&lt;20, "Teenager", A1206&lt;40, "Young Adult", A1206&lt;60, "Senior Adult", A1206&gt;=60, "Elderly")</f>
        <v>Teenager</v>
      </c>
    </row>
    <row r="1207" spans="1:8" x14ac:dyDescent="0.25">
      <c r="A1207" s="1">
        <v>35</v>
      </c>
      <c r="B1207" t="s">
        <v>8</v>
      </c>
      <c r="C1207" s="2">
        <v>17.899999999999999</v>
      </c>
      <c r="D1207" s="1">
        <v>1</v>
      </c>
      <c r="E1207" t="s">
        <v>10</v>
      </c>
      <c r="F1207" t="s">
        <v>13</v>
      </c>
      <c r="G1207" s="3">
        <v>5116.5</v>
      </c>
      <c r="H1207" t="str" cm="1">
        <f t="array" ref="H1207">_xlfn.IFS(A1207&lt;13, "Child", A1207&lt;20, "Teenager", A1207&lt;40, "Young Adult", A1207&lt;60, "Senior Adult", A1207&gt;=60, "Elderly")</f>
        <v>Young Adult</v>
      </c>
    </row>
    <row r="1208" spans="1:8" x14ac:dyDescent="0.25">
      <c r="A1208" s="1">
        <v>59</v>
      </c>
      <c r="B1208" t="s">
        <v>7</v>
      </c>
      <c r="C1208" s="2">
        <v>34.799999999999997</v>
      </c>
      <c r="D1208" s="1">
        <v>2</v>
      </c>
      <c r="E1208" t="s">
        <v>10</v>
      </c>
      <c r="F1208" t="s">
        <v>11</v>
      </c>
      <c r="G1208" s="3">
        <v>36910.61</v>
      </c>
      <c r="H1208" t="str" cm="1">
        <f t="array" ref="H1208">_xlfn.IFS(A1208&lt;13, "Child", A1208&lt;20, "Teenager", A1208&lt;40, "Young Adult", A1208&lt;60, "Senior Adult", A1208&gt;=60, "Elderly")</f>
        <v>Senior Adult</v>
      </c>
    </row>
    <row r="1209" spans="1:8" x14ac:dyDescent="0.25">
      <c r="A1209" s="1">
        <v>36</v>
      </c>
      <c r="B1209" t="s">
        <v>8</v>
      </c>
      <c r="C1209" s="2">
        <v>33.4</v>
      </c>
      <c r="D1209" s="1">
        <v>2</v>
      </c>
      <c r="E1209" t="s">
        <v>9</v>
      </c>
      <c r="F1209" t="s">
        <v>11</v>
      </c>
      <c r="G1209" s="3">
        <v>38415.47</v>
      </c>
      <c r="H1209" t="str" cm="1">
        <f t="array" ref="H1209">_xlfn.IFS(A1209&lt;13, "Child", A1209&lt;20, "Teenager", A1209&lt;40, "Young Adult", A1209&lt;60, "Senior Adult", A1209&gt;=60, "Elderly")</f>
        <v>Young Adult</v>
      </c>
    </row>
    <row r="1210" spans="1:8" x14ac:dyDescent="0.25">
      <c r="A1210" s="1">
        <v>37</v>
      </c>
      <c r="B1210" t="s">
        <v>7</v>
      </c>
      <c r="C1210" s="2">
        <v>25.6</v>
      </c>
      <c r="D1210" s="1">
        <v>1</v>
      </c>
      <c r="E1210" t="s">
        <v>9</v>
      </c>
      <c r="F1210" t="s">
        <v>14</v>
      </c>
      <c r="G1210" s="3">
        <v>20296.86</v>
      </c>
      <c r="H1210" t="str" cm="1">
        <f t="array" ref="H1210">_xlfn.IFS(A1210&lt;13, "Child", A1210&lt;20, "Teenager", A1210&lt;40, "Young Adult", A1210&lt;60, "Senior Adult", A1210&gt;=60, "Elderly")</f>
        <v>Young Adult</v>
      </c>
    </row>
    <row r="1211" spans="1:8" x14ac:dyDescent="0.25">
      <c r="A1211" s="1">
        <v>59</v>
      </c>
      <c r="B1211" t="s">
        <v>8</v>
      </c>
      <c r="C1211" s="2">
        <v>37.1</v>
      </c>
      <c r="D1211" s="1">
        <v>1</v>
      </c>
      <c r="E1211" t="s">
        <v>10</v>
      </c>
      <c r="F1211" t="s">
        <v>11</v>
      </c>
      <c r="G1211" s="3">
        <v>12347.17</v>
      </c>
      <c r="H1211" t="str" cm="1">
        <f t="array" ref="H1211">_xlfn.IFS(A1211&lt;13, "Child", A1211&lt;20, "Teenager", A1211&lt;40, "Young Adult", A1211&lt;60, "Senior Adult", A1211&gt;=60, "Elderly")</f>
        <v>Senior Adult</v>
      </c>
    </row>
    <row r="1212" spans="1:8" x14ac:dyDescent="0.25">
      <c r="A1212" s="1">
        <v>36</v>
      </c>
      <c r="B1212" t="s">
        <v>8</v>
      </c>
      <c r="C1212" s="2">
        <v>30.9</v>
      </c>
      <c r="D1212" s="1">
        <v>1</v>
      </c>
      <c r="E1212" t="s">
        <v>10</v>
      </c>
      <c r="F1212" t="s">
        <v>13</v>
      </c>
      <c r="G1212" s="3">
        <v>5373.36</v>
      </c>
      <c r="H1212" t="str" cm="1">
        <f t="array" ref="H1212">_xlfn.IFS(A1212&lt;13, "Child", A1212&lt;20, "Teenager", A1212&lt;40, "Young Adult", A1212&lt;60, "Senior Adult", A1212&gt;=60, "Elderly")</f>
        <v>Young Adult</v>
      </c>
    </row>
    <row r="1213" spans="1:8" x14ac:dyDescent="0.25">
      <c r="A1213" s="1">
        <v>39</v>
      </c>
      <c r="B1213" t="s">
        <v>8</v>
      </c>
      <c r="C1213" s="2">
        <v>34.1</v>
      </c>
      <c r="D1213" s="1">
        <v>2</v>
      </c>
      <c r="E1213" t="s">
        <v>10</v>
      </c>
      <c r="F1213" t="s">
        <v>12</v>
      </c>
      <c r="G1213" s="3">
        <v>23563.02</v>
      </c>
      <c r="H1213" t="str" cm="1">
        <f t="array" ref="H1213">_xlfn.IFS(A1213&lt;13, "Child", A1213&lt;20, "Teenager", A1213&lt;40, "Young Adult", A1213&lt;60, "Senior Adult", A1213&gt;=60, "Elderly")</f>
        <v>Young Adult</v>
      </c>
    </row>
    <row r="1214" spans="1:8" x14ac:dyDescent="0.25">
      <c r="A1214" s="1">
        <v>18</v>
      </c>
      <c r="B1214" t="s">
        <v>8</v>
      </c>
      <c r="C1214" s="2">
        <v>21.5</v>
      </c>
      <c r="D1214" s="1">
        <v>0</v>
      </c>
      <c r="E1214" t="s">
        <v>10</v>
      </c>
      <c r="F1214" t="s">
        <v>14</v>
      </c>
      <c r="G1214" s="3">
        <v>1702.46</v>
      </c>
      <c r="H1214" t="str" cm="1">
        <f t="array" ref="H1214">_xlfn.IFS(A1214&lt;13, "Child", A1214&lt;20, "Teenager", A1214&lt;40, "Young Adult", A1214&lt;60, "Senior Adult", A1214&gt;=60, "Elderly")</f>
        <v>Teenager</v>
      </c>
    </row>
    <row r="1215" spans="1:8" x14ac:dyDescent="0.25">
      <c r="A1215" s="1">
        <v>52</v>
      </c>
      <c r="B1215" t="s">
        <v>7</v>
      </c>
      <c r="C1215" s="2">
        <v>33.299999999999997</v>
      </c>
      <c r="D1215" s="1">
        <v>2</v>
      </c>
      <c r="E1215" t="s">
        <v>10</v>
      </c>
      <c r="F1215" t="s">
        <v>11</v>
      </c>
      <c r="G1215" s="3">
        <v>10806.84</v>
      </c>
      <c r="H1215" t="str" cm="1">
        <f t="array" ref="H1215">_xlfn.IFS(A1215&lt;13, "Child", A1215&lt;20, "Teenager", A1215&lt;40, "Young Adult", A1215&lt;60, "Senior Adult", A1215&gt;=60, "Elderly")</f>
        <v>Senior Adult</v>
      </c>
    </row>
    <row r="1216" spans="1:8" x14ac:dyDescent="0.25">
      <c r="A1216" s="1">
        <v>27</v>
      </c>
      <c r="B1216" t="s">
        <v>7</v>
      </c>
      <c r="C1216" s="2">
        <v>31.3</v>
      </c>
      <c r="D1216" s="1">
        <v>1</v>
      </c>
      <c r="E1216" t="s">
        <v>10</v>
      </c>
      <c r="F1216" t="s">
        <v>13</v>
      </c>
      <c r="G1216" s="3">
        <v>3956.07</v>
      </c>
      <c r="H1216" t="str" cm="1">
        <f t="array" ref="H1216">_xlfn.IFS(A1216&lt;13, "Child", A1216&lt;20, "Teenager", A1216&lt;40, "Young Adult", A1216&lt;60, "Senior Adult", A1216&gt;=60, "Elderly")</f>
        <v>Young Adult</v>
      </c>
    </row>
    <row r="1217" spans="1:8" x14ac:dyDescent="0.25">
      <c r="A1217" s="1">
        <v>18</v>
      </c>
      <c r="B1217" t="s">
        <v>8</v>
      </c>
      <c r="C1217" s="2">
        <v>39.1</v>
      </c>
      <c r="D1217" s="1">
        <v>0</v>
      </c>
      <c r="E1217" t="s">
        <v>10</v>
      </c>
      <c r="F1217" t="s">
        <v>14</v>
      </c>
      <c r="G1217" s="3">
        <v>12890.06</v>
      </c>
      <c r="H1217" t="str" cm="1">
        <f t="array" ref="H1217">_xlfn.IFS(A1217&lt;13, "Child", A1217&lt;20, "Teenager", A1217&lt;40, "Young Adult", A1217&lt;60, "Senior Adult", A1217&gt;=60, "Elderly")</f>
        <v>Teenager</v>
      </c>
    </row>
    <row r="1218" spans="1:8" x14ac:dyDescent="0.25">
      <c r="A1218" s="1">
        <v>40</v>
      </c>
      <c r="B1218" t="s">
        <v>8</v>
      </c>
      <c r="C1218" s="2">
        <v>25.1</v>
      </c>
      <c r="D1218" s="1">
        <v>0</v>
      </c>
      <c r="E1218" t="s">
        <v>10</v>
      </c>
      <c r="F1218" t="s">
        <v>12</v>
      </c>
      <c r="G1218" s="3">
        <v>5415.66</v>
      </c>
      <c r="H1218" t="str" cm="1">
        <f t="array" ref="H1218">_xlfn.IFS(A1218&lt;13, "Child", A1218&lt;20, "Teenager", A1218&lt;40, "Young Adult", A1218&lt;60, "Senior Adult", A1218&gt;=60, "Elderly")</f>
        <v>Senior Adult</v>
      </c>
    </row>
    <row r="1219" spans="1:8" x14ac:dyDescent="0.25">
      <c r="A1219" s="1">
        <v>29</v>
      </c>
      <c r="B1219" t="s">
        <v>8</v>
      </c>
      <c r="C1219" s="2">
        <v>37.299999999999997</v>
      </c>
      <c r="D1219" s="1">
        <v>2</v>
      </c>
      <c r="E1219" t="s">
        <v>10</v>
      </c>
      <c r="F1219" t="s">
        <v>12</v>
      </c>
      <c r="G1219" s="3">
        <v>4058.12</v>
      </c>
      <c r="H1219" t="str" cm="1">
        <f t="array" ref="H1219">_xlfn.IFS(A1219&lt;13, "Child", A1219&lt;20, "Teenager", A1219&lt;40, "Young Adult", A1219&lt;60, "Senior Adult", A1219&gt;=60, "Elderly")</f>
        <v>Young Adult</v>
      </c>
    </row>
    <row r="1220" spans="1:8" x14ac:dyDescent="0.25">
      <c r="A1220" s="1">
        <v>46</v>
      </c>
      <c r="B1220" t="s">
        <v>7</v>
      </c>
      <c r="C1220" s="2">
        <v>34.6</v>
      </c>
      <c r="D1220" s="1">
        <v>1</v>
      </c>
      <c r="E1220" t="s">
        <v>9</v>
      </c>
      <c r="F1220" t="s">
        <v>11</v>
      </c>
      <c r="G1220" s="3">
        <v>41661.599999999999</v>
      </c>
      <c r="H1220" t="str" cm="1">
        <f t="array" ref="H1220">_xlfn.IFS(A1220&lt;13, "Child", A1220&lt;20, "Teenager", A1220&lt;40, "Young Adult", A1220&lt;60, "Senior Adult", A1220&gt;=60, "Elderly")</f>
        <v>Senior Adult</v>
      </c>
    </row>
    <row r="1221" spans="1:8" x14ac:dyDescent="0.25">
      <c r="A1221" s="1">
        <v>38</v>
      </c>
      <c r="B1221" t="s">
        <v>7</v>
      </c>
      <c r="C1221" s="2">
        <v>30.2</v>
      </c>
      <c r="D1221" s="1">
        <v>3</v>
      </c>
      <c r="E1221" t="s">
        <v>10</v>
      </c>
      <c r="F1221" t="s">
        <v>13</v>
      </c>
      <c r="G1221" s="3">
        <v>7537.16</v>
      </c>
      <c r="H1221" t="str" cm="1">
        <f t="array" ref="H1221">_xlfn.IFS(A1221&lt;13, "Child", A1221&lt;20, "Teenager", A1221&lt;40, "Young Adult", A1221&lt;60, "Senior Adult", A1221&gt;=60, "Elderly")</f>
        <v>Young Adult</v>
      </c>
    </row>
    <row r="1222" spans="1:8" x14ac:dyDescent="0.25">
      <c r="A1222" s="1">
        <v>30</v>
      </c>
      <c r="B1222" t="s">
        <v>7</v>
      </c>
      <c r="C1222" s="2">
        <v>21.9</v>
      </c>
      <c r="D1222" s="1">
        <v>1</v>
      </c>
      <c r="E1222" t="s">
        <v>10</v>
      </c>
      <c r="F1222" t="s">
        <v>14</v>
      </c>
      <c r="G1222" s="3">
        <v>4718.2</v>
      </c>
      <c r="H1222" t="str" cm="1">
        <f t="array" ref="H1222">_xlfn.IFS(A1222&lt;13, "Child", A1222&lt;20, "Teenager", A1222&lt;40, "Young Adult", A1222&lt;60, "Senior Adult", A1222&gt;=60, "Elderly")</f>
        <v>Young Adult</v>
      </c>
    </row>
    <row r="1223" spans="1:8" x14ac:dyDescent="0.25">
      <c r="A1223" s="1">
        <v>40</v>
      </c>
      <c r="B1223" t="s">
        <v>8</v>
      </c>
      <c r="C1223" s="2">
        <v>25</v>
      </c>
      <c r="D1223" s="1">
        <v>2</v>
      </c>
      <c r="E1223" t="s">
        <v>10</v>
      </c>
      <c r="F1223" t="s">
        <v>12</v>
      </c>
      <c r="G1223" s="3">
        <v>6593.51</v>
      </c>
      <c r="H1223" t="str" cm="1">
        <f t="array" ref="H1223">_xlfn.IFS(A1223&lt;13, "Child", A1223&lt;20, "Teenager", A1223&lt;40, "Young Adult", A1223&lt;60, "Senior Adult", A1223&gt;=60, "Elderly")</f>
        <v>Senior Adult</v>
      </c>
    </row>
    <row r="1224" spans="1:8" x14ac:dyDescent="0.25">
      <c r="A1224" s="1">
        <v>50</v>
      </c>
      <c r="B1224" t="s">
        <v>8</v>
      </c>
      <c r="C1224" s="2">
        <v>25.3</v>
      </c>
      <c r="D1224" s="1">
        <v>0</v>
      </c>
      <c r="E1224" t="s">
        <v>10</v>
      </c>
      <c r="F1224" t="s">
        <v>12</v>
      </c>
      <c r="G1224" s="3">
        <v>8442.67</v>
      </c>
      <c r="H1224" t="str" cm="1">
        <f t="array" ref="H1224">_xlfn.IFS(A1224&lt;13, "Child", A1224&lt;20, "Teenager", A1224&lt;40, "Young Adult", A1224&lt;60, "Senior Adult", A1224&gt;=60, "Elderly")</f>
        <v>Senior Adult</v>
      </c>
    </row>
    <row r="1225" spans="1:8" x14ac:dyDescent="0.25">
      <c r="A1225" s="1">
        <v>20</v>
      </c>
      <c r="B1225" t="s">
        <v>7</v>
      </c>
      <c r="C1225" s="2">
        <v>24.4</v>
      </c>
      <c r="D1225" s="1">
        <v>0</v>
      </c>
      <c r="E1225" t="s">
        <v>9</v>
      </c>
      <c r="F1225" t="s">
        <v>12</v>
      </c>
      <c r="G1225" s="3">
        <v>26125.67</v>
      </c>
      <c r="H1225" t="str" cm="1">
        <f t="array" ref="H1225">_xlfn.IFS(A1225&lt;13, "Child", A1225&lt;20, "Teenager", A1225&lt;40, "Young Adult", A1225&lt;60, "Senior Adult", A1225&gt;=60, "Elderly")</f>
        <v>Young Adult</v>
      </c>
    </row>
    <row r="1226" spans="1:8" x14ac:dyDescent="0.25">
      <c r="A1226" s="1">
        <v>41</v>
      </c>
      <c r="B1226" t="s">
        <v>8</v>
      </c>
      <c r="C1226" s="2">
        <v>23.9</v>
      </c>
      <c r="D1226" s="1">
        <v>1</v>
      </c>
      <c r="E1226" t="s">
        <v>10</v>
      </c>
      <c r="F1226" t="s">
        <v>14</v>
      </c>
      <c r="G1226" s="3">
        <v>6858.48</v>
      </c>
      <c r="H1226" t="str" cm="1">
        <f t="array" ref="H1226">_xlfn.IFS(A1226&lt;13, "Child", A1226&lt;20, "Teenager", A1226&lt;40, "Young Adult", A1226&lt;60, "Senior Adult", A1226&gt;=60, "Elderly")</f>
        <v>Senior Adult</v>
      </c>
    </row>
    <row r="1227" spans="1:8" x14ac:dyDescent="0.25">
      <c r="A1227" s="1">
        <v>33</v>
      </c>
      <c r="B1227" t="s">
        <v>7</v>
      </c>
      <c r="C1227" s="2">
        <v>39.799999999999997</v>
      </c>
      <c r="D1227" s="1">
        <v>1</v>
      </c>
      <c r="E1227" t="s">
        <v>10</v>
      </c>
      <c r="F1227" t="s">
        <v>12</v>
      </c>
      <c r="G1227" s="3">
        <v>4795.66</v>
      </c>
      <c r="H1227" t="str" cm="1">
        <f t="array" ref="H1227">_xlfn.IFS(A1227&lt;13, "Child", A1227&lt;20, "Teenager", A1227&lt;40, "Young Adult", A1227&lt;60, "Senior Adult", A1227&gt;=60, "Elderly")</f>
        <v>Young Adult</v>
      </c>
    </row>
    <row r="1228" spans="1:8" x14ac:dyDescent="0.25">
      <c r="A1228" s="1">
        <v>38</v>
      </c>
      <c r="B1228" t="s">
        <v>8</v>
      </c>
      <c r="C1228" s="2">
        <v>16.8</v>
      </c>
      <c r="D1228" s="1">
        <v>2</v>
      </c>
      <c r="E1228" t="s">
        <v>10</v>
      </c>
      <c r="F1228" t="s">
        <v>14</v>
      </c>
      <c r="G1228" s="3">
        <v>6640.54</v>
      </c>
      <c r="H1228" t="str" cm="1">
        <f t="array" ref="H1228">_xlfn.IFS(A1228&lt;13, "Child", A1228&lt;20, "Teenager", A1228&lt;40, "Young Adult", A1228&lt;60, "Senior Adult", A1228&gt;=60, "Elderly")</f>
        <v>Young Adult</v>
      </c>
    </row>
    <row r="1229" spans="1:8" x14ac:dyDescent="0.25">
      <c r="A1229" s="1">
        <v>42</v>
      </c>
      <c r="B1229" t="s">
        <v>8</v>
      </c>
      <c r="C1229" s="2">
        <v>37.200000000000003</v>
      </c>
      <c r="D1229" s="1">
        <v>2</v>
      </c>
      <c r="E1229" t="s">
        <v>10</v>
      </c>
      <c r="F1229" t="s">
        <v>12</v>
      </c>
      <c r="G1229" s="3">
        <v>7162.01</v>
      </c>
      <c r="H1229" t="str" cm="1">
        <f t="array" ref="H1229">_xlfn.IFS(A1229&lt;13, "Child", A1229&lt;20, "Teenager", A1229&lt;40, "Young Adult", A1229&lt;60, "Senior Adult", A1229&gt;=60, "Elderly")</f>
        <v>Senior Adult</v>
      </c>
    </row>
    <row r="1230" spans="1:8" x14ac:dyDescent="0.25">
      <c r="A1230" s="1">
        <v>56</v>
      </c>
      <c r="B1230" t="s">
        <v>8</v>
      </c>
      <c r="C1230" s="2">
        <v>34.4</v>
      </c>
      <c r="D1230" s="1">
        <v>0</v>
      </c>
      <c r="E1230" t="s">
        <v>10</v>
      </c>
      <c r="F1230" t="s">
        <v>12</v>
      </c>
      <c r="G1230" s="3">
        <v>10594.23</v>
      </c>
      <c r="H1230" t="str" cm="1">
        <f t="array" ref="H1230">_xlfn.IFS(A1230&lt;13, "Child", A1230&lt;20, "Teenager", A1230&lt;40, "Young Adult", A1230&lt;60, "Senior Adult", A1230&gt;=60, "Elderly")</f>
        <v>Senior Adult</v>
      </c>
    </row>
    <row r="1231" spans="1:8" x14ac:dyDescent="0.25">
      <c r="A1231" s="1">
        <v>58</v>
      </c>
      <c r="B1231" t="s">
        <v>8</v>
      </c>
      <c r="C1231" s="2">
        <v>30.3</v>
      </c>
      <c r="D1231" s="1">
        <v>0</v>
      </c>
      <c r="E1231" t="s">
        <v>10</v>
      </c>
      <c r="F1231" t="s">
        <v>14</v>
      </c>
      <c r="G1231" s="3">
        <v>11938.26</v>
      </c>
      <c r="H1231" t="str" cm="1">
        <f t="array" ref="H1231">_xlfn.IFS(A1231&lt;13, "Child", A1231&lt;20, "Teenager", A1231&lt;40, "Young Adult", A1231&lt;60, "Senior Adult", A1231&gt;=60, "Elderly")</f>
        <v>Senior Adult</v>
      </c>
    </row>
    <row r="1232" spans="1:8" x14ac:dyDescent="0.25">
      <c r="A1232" s="1">
        <v>52</v>
      </c>
      <c r="B1232" t="s">
        <v>8</v>
      </c>
      <c r="C1232" s="2">
        <v>34.5</v>
      </c>
      <c r="D1232" s="1">
        <v>3</v>
      </c>
      <c r="E1232" t="s">
        <v>9</v>
      </c>
      <c r="F1232" t="s">
        <v>13</v>
      </c>
      <c r="G1232" s="3">
        <v>60021.4</v>
      </c>
      <c r="H1232" t="str" cm="1">
        <f t="array" ref="H1232">_xlfn.IFS(A1232&lt;13, "Child", A1232&lt;20, "Teenager", A1232&lt;40, "Young Adult", A1232&lt;60, "Senior Adult", A1232&gt;=60, "Elderly")</f>
        <v>Senior Adult</v>
      </c>
    </row>
    <row r="1233" spans="1:8" x14ac:dyDescent="0.25">
      <c r="A1233" s="1">
        <v>20</v>
      </c>
      <c r="B1233" t="s">
        <v>7</v>
      </c>
      <c r="C1233" s="2">
        <v>21.8</v>
      </c>
      <c r="D1233" s="1">
        <v>0</v>
      </c>
      <c r="E1233" t="s">
        <v>9</v>
      </c>
      <c r="F1233" t="s">
        <v>11</v>
      </c>
      <c r="G1233" s="3">
        <v>20167.34</v>
      </c>
      <c r="H1233" t="str" cm="1">
        <f t="array" ref="H1233">_xlfn.IFS(A1233&lt;13, "Child", A1233&lt;20, "Teenager", A1233&lt;40, "Young Adult", A1233&lt;60, "Senior Adult", A1233&gt;=60, "Elderly")</f>
        <v>Young Adult</v>
      </c>
    </row>
    <row r="1234" spans="1:8" x14ac:dyDescent="0.25">
      <c r="A1234" s="1">
        <v>54</v>
      </c>
      <c r="B1234" t="s">
        <v>7</v>
      </c>
      <c r="C1234" s="2">
        <v>24.6</v>
      </c>
      <c r="D1234" s="1">
        <v>3</v>
      </c>
      <c r="E1234" t="s">
        <v>10</v>
      </c>
      <c r="F1234" t="s">
        <v>13</v>
      </c>
      <c r="G1234" s="3">
        <v>12479.71</v>
      </c>
      <c r="H1234" t="str" cm="1">
        <f t="array" ref="H1234">_xlfn.IFS(A1234&lt;13, "Child", A1234&lt;20, "Teenager", A1234&lt;40, "Young Adult", A1234&lt;60, "Senior Adult", A1234&gt;=60, "Elderly")</f>
        <v>Senior Adult</v>
      </c>
    </row>
    <row r="1235" spans="1:8" x14ac:dyDescent="0.25">
      <c r="A1235" s="1">
        <v>58</v>
      </c>
      <c r="B1235" t="s">
        <v>8</v>
      </c>
      <c r="C1235" s="2">
        <v>23.3</v>
      </c>
      <c r="D1235" s="1">
        <v>0</v>
      </c>
      <c r="E1235" t="s">
        <v>10</v>
      </c>
      <c r="F1235" t="s">
        <v>11</v>
      </c>
      <c r="G1235" s="3">
        <v>11345.52</v>
      </c>
      <c r="H1235" t="str" cm="1">
        <f t="array" ref="H1235">_xlfn.IFS(A1235&lt;13, "Child", A1235&lt;20, "Teenager", A1235&lt;40, "Young Adult", A1235&lt;60, "Senior Adult", A1235&gt;=60, "Elderly")</f>
        <v>Senior Adult</v>
      </c>
    </row>
    <row r="1236" spans="1:8" x14ac:dyDescent="0.25">
      <c r="A1236" s="1">
        <v>45</v>
      </c>
      <c r="B1236" t="s">
        <v>7</v>
      </c>
      <c r="C1236" s="2">
        <v>27.8</v>
      </c>
      <c r="D1236" s="1">
        <v>2</v>
      </c>
      <c r="E1236" t="s">
        <v>10</v>
      </c>
      <c r="F1236" t="s">
        <v>12</v>
      </c>
      <c r="G1236" s="3">
        <v>8515.76</v>
      </c>
      <c r="H1236" t="str" cm="1">
        <f t="array" ref="H1236">_xlfn.IFS(A1236&lt;13, "Child", A1236&lt;20, "Teenager", A1236&lt;40, "Young Adult", A1236&lt;60, "Senior Adult", A1236&gt;=60, "Elderly")</f>
        <v>Senior Adult</v>
      </c>
    </row>
    <row r="1237" spans="1:8" x14ac:dyDescent="0.25">
      <c r="A1237" s="1">
        <v>26</v>
      </c>
      <c r="B1237" t="s">
        <v>8</v>
      </c>
      <c r="C1237" s="2">
        <v>31.1</v>
      </c>
      <c r="D1237" s="1">
        <v>0</v>
      </c>
      <c r="E1237" t="s">
        <v>10</v>
      </c>
      <c r="F1237" t="s">
        <v>13</v>
      </c>
      <c r="G1237" s="3">
        <v>2699.57</v>
      </c>
      <c r="H1237" t="str" cm="1">
        <f t="array" ref="H1237">_xlfn.IFS(A1237&lt;13, "Child", A1237&lt;20, "Teenager", A1237&lt;40, "Young Adult", A1237&lt;60, "Senior Adult", A1237&gt;=60, "Elderly")</f>
        <v>Young Adult</v>
      </c>
    </row>
    <row r="1238" spans="1:8" x14ac:dyDescent="0.25">
      <c r="A1238" s="1">
        <v>63</v>
      </c>
      <c r="B1238" t="s">
        <v>7</v>
      </c>
      <c r="C1238" s="2">
        <v>21.7</v>
      </c>
      <c r="D1238" s="1">
        <v>0</v>
      </c>
      <c r="E1238" t="s">
        <v>10</v>
      </c>
      <c r="F1238" t="s">
        <v>14</v>
      </c>
      <c r="G1238" s="3">
        <v>14449.85</v>
      </c>
      <c r="H1238" t="str" cm="1">
        <f t="array" ref="H1238">_xlfn.IFS(A1238&lt;13, "Child", A1238&lt;20, "Teenager", A1238&lt;40, "Young Adult", A1238&lt;60, "Senior Adult", A1238&gt;=60, "Elderly")</f>
        <v>Elderly</v>
      </c>
    </row>
    <row r="1239" spans="1:8" x14ac:dyDescent="0.25">
      <c r="A1239" s="1">
        <v>58</v>
      </c>
      <c r="B1239" t="s">
        <v>7</v>
      </c>
      <c r="C1239" s="2">
        <v>28.2</v>
      </c>
      <c r="D1239" s="1">
        <v>0</v>
      </c>
      <c r="E1239" t="s">
        <v>10</v>
      </c>
      <c r="F1239" t="s">
        <v>13</v>
      </c>
      <c r="G1239" s="3">
        <v>12224.35</v>
      </c>
      <c r="H1239" t="str" cm="1">
        <f t="array" ref="H1239">_xlfn.IFS(A1239&lt;13, "Child", A1239&lt;20, "Teenager", A1239&lt;40, "Young Adult", A1239&lt;60, "Senior Adult", A1239&gt;=60, "Elderly")</f>
        <v>Senior Adult</v>
      </c>
    </row>
    <row r="1240" spans="1:8" x14ac:dyDescent="0.25">
      <c r="A1240" s="1">
        <v>37</v>
      </c>
      <c r="B1240" t="s">
        <v>8</v>
      </c>
      <c r="C1240" s="2">
        <v>22.7</v>
      </c>
      <c r="D1240" s="1">
        <v>3</v>
      </c>
      <c r="E1240" t="s">
        <v>10</v>
      </c>
      <c r="F1240" t="s">
        <v>14</v>
      </c>
      <c r="G1240" s="3">
        <v>6985.51</v>
      </c>
      <c r="H1240" t="str" cm="1">
        <f t="array" ref="H1240">_xlfn.IFS(A1240&lt;13, "Child", A1240&lt;20, "Teenager", A1240&lt;40, "Young Adult", A1240&lt;60, "Senior Adult", A1240&gt;=60, "Elderly")</f>
        <v>Young Adult</v>
      </c>
    </row>
    <row r="1241" spans="1:8" x14ac:dyDescent="0.25">
      <c r="A1241" s="1">
        <v>25</v>
      </c>
      <c r="B1241" t="s">
        <v>7</v>
      </c>
      <c r="C1241" s="2">
        <v>42.1</v>
      </c>
      <c r="D1241" s="1">
        <v>1</v>
      </c>
      <c r="E1241" t="s">
        <v>10</v>
      </c>
      <c r="F1241" t="s">
        <v>12</v>
      </c>
      <c r="G1241" s="3">
        <v>3238.44</v>
      </c>
      <c r="H1241" t="str" cm="1">
        <f t="array" ref="H1241">_xlfn.IFS(A1241&lt;13, "Child", A1241&lt;20, "Teenager", A1241&lt;40, "Young Adult", A1241&lt;60, "Senior Adult", A1241&gt;=60, "Elderly")</f>
        <v>Young Adult</v>
      </c>
    </row>
    <row r="1242" spans="1:8" x14ac:dyDescent="0.25">
      <c r="A1242" s="1">
        <v>52</v>
      </c>
      <c r="B1242" t="s">
        <v>8</v>
      </c>
      <c r="C1242" s="2">
        <v>41.8</v>
      </c>
      <c r="D1242" s="1">
        <v>2</v>
      </c>
      <c r="E1242" t="s">
        <v>9</v>
      </c>
      <c r="F1242" t="s">
        <v>12</v>
      </c>
      <c r="G1242" s="3">
        <v>47269.85</v>
      </c>
      <c r="H1242" t="str" cm="1">
        <f t="array" ref="H1242">_xlfn.IFS(A1242&lt;13, "Child", A1242&lt;20, "Teenager", A1242&lt;40, "Young Adult", A1242&lt;60, "Senior Adult", A1242&gt;=60, "Elderly")</f>
        <v>Senior Adult</v>
      </c>
    </row>
    <row r="1243" spans="1:8" x14ac:dyDescent="0.25">
      <c r="A1243" s="1">
        <v>64</v>
      </c>
      <c r="B1243" t="s">
        <v>8</v>
      </c>
      <c r="C1243" s="2">
        <v>37</v>
      </c>
      <c r="D1243" s="1">
        <v>2</v>
      </c>
      <c r="E1243" t="s">
        <v>9</v>
      </c>
      <c r="F1243" t="s">
        <v>12</v>
      </c>
      <c r="G1243" s="3">
        <v>49577.66</v>
      </c>
      <c r="H1243" t="str" cm="1">
        <f t="array" ref="H1243">_xlfn.IFS(A1243&lt;13, "Child", A1243&lt;20, "Teenager", A1243&lt;40, "Young Adult", A1243&lt;60, "Senior Adult", A1243&gt;=60, "Elderly")</f>
        <v>Elderly</v>
      </c>
    </row>
    <row r="1244" spans="1:8" x14ac:dyDescent="0.25">
      <c r="A1244" s="1">
        <v>22</v>
      </c>
      <c r="B1244" t="s">
        <v>7</v>
      </c>
      <c r="C1244" s="2">
        <v>21.3</v>
      </c>
      <c r="D1244" s="1">
        <v>3</v>
      </c>
      <c r="E1244" t="s">
        <v>10</v>
      </c>
      <c r="F1244" t="s">
        <v>13</v>
      </c>
      <c r="G1244" s="3">
        <v>4296.2700000000004</v>
      </c>
      <c r="H1244" t="str" cm="1">
        <f t="array" ref="H1244">_xlfn.IFS(A1244&lt;13, "Child", A1244&lt;20, "Teenager", A1244&lt;40, "Young Adult", A1244&lt;60, "Senior Adult", A1244&gt;=60, "Elderly")</f>
        <v>Young Adult</v>
      </c>
    </row>
    <row r="1245" spans="1:8" x14ac:dyDescent="0.25">
      <c r="A1245" s="1">
        <v>28</v>
      </c>
      <c r="B1245" t="s">
        <v>7</v>
      </c>
      <c r="C1245" s="2">
        <v>33.1</v>
      </c>
      <c r="D1245" s="1">
        <v>0</v>
      </c>
      <c r="E1245" t="s">
        <v>10</v>
      </c>
      <c r="F1245" t="s">
        <v>12</v>
      </c>
      <c r="G1245" s="3">
        <v>3171.61</v>
      </c>
      <c r="H1245" t="str" cm="1">
        <f t="array" ref="H1245">_xlfn.IFS(A1245&lt;13, "Child", A1245&lt;20, "Teenager", A1245&lt;40, "Young Adult", A1245&lt;60, "Senior Adult", A1245&gt;=60, "Elderly")</f>
        <v>Young Adult</v>
      </c>
    </row>
    <row r="1246" spans="1:8" x14ac:dyDescent="0.25">
      <c r="A1246" s="1">
        <v>18</v>
      </c>
      <c r="B1246" t="s">
        <v>8</v>
      </c>
      <c r="C1246" s="2">
        <v>33.299999999999997</v>
      </c>
      <c r="D1246" s="1">
        <v>0</v>
      </c>
      <c r="E1246" t="s">
        <v>10</v>
      </c>
      <c r="F1246" t="s">
        <v>12</v>
      </c>
      <c r="G1246" s="3">
        <v>1135.94</v>
      </c>
      <c r="H1246" t="str" cm="1">
        <f t="array" ref="H1246">_xlfn.IFS(A1246&lt;13, "Child", A1246&lt;20, "Teenager", A1246&lt;40, "Young Adult", A1246&lt;60, "Senior Adult", A1246&gt;=60, "Elderly")</f>
        <v>Teenager</v>
      </c>
    </row>
    <row r="1247" spans="1:8" x14ac:dyDescent="0.25">
      <c r="A1247" s="1">
        <v>28</v>
      </c>
      <c r="B1247" t="s">
        <v>8</v>
      </c>
      <c r="C1247" s="2">
        <v>24.3</v>
      </c>
      <c r="D1247" s="1">
        <v>5</v>
      </c>
      <c r="E1247" t="s">
        <v>10</v>
      </c>
      <c r="F1247" t="s">
        <v>11</v>
      </c>
      <c r="G1247" s="3">
        <v>5615.37</v>
      </c>
      <c r="H1247" t="str" cm="1">
        <f t="array" ref="H1247">_xlfn.IFS(A1247&lt;13, "Child", A1247&lt;20, "Teenager", A1247&lt;40, "Young Adult", A1247&lt;60, "Senior Adult", A1247&gt;=60, "Elderly")</f>
        <v>Young Adult</v>
      </c>
    </row>
    <row r="1248" spans="1:8" x14ac:dyDescent="0.25">
      <c r="A1248" s="1">
        <v>45</v>
      </c>
      <c r="B1248" t="s">
        <v>7</v>
      </c>
      <c r="C1248" s="2">
        <v>25.7</v>
      </c>
      <c r="D1248" s="1">
        <v>3</v>
      </c>
      <c r="E1248" t="s">
        <v>10</v>
      </c>
      <c r="F1248" t="s">
        <v>11</v>
      </c>
      <c r="G1248" s="3">
        <v>9101.7999999999993</v>
      </c>
      <c r="H1248" t="str" cm="1">
        <f t="array" ref="H1248">_xlfn.IFS(A1248&lt;13, "Child", A1248&lt;20, "Teenager", A1248&lt;40, "Young Adult", A1248&lt;60, "Senior Adult", A1248&gt;=60, "Elderly")</f>
        <v>Senior Adult</v>
      </c>
    </row>
    <row r="1249" spans="1:8" x14ac:dyDescent="0.25">
      <c r="A1249" s="1">
        <v>33</v>
      </c>
      <c r="B1249" t="s">
        <v>8</v>
      </c>
      <c r="C1249" s="2">
        <v>29.4</v>
      </c>
      <c r="D1249" s="1">
        <v>4</v>
      </c>
      <c r="E1249" t="s">
        <v>10</v>
      </c>
      <c r="F1249" t="s">
        <v>11</v>
      </c>
      <c r="G1249" s="3">
        <v>6059.17</v>
      </c>
      <c r="H1249" t="str" cm="1">
        <f t="array" ref="H1249">_xlfn.IFS(A1249&lt;13, "Child", A1249&lt;20, "Teenager", A1249&lt;40, "Young Adult", A1249&lt;60, "Senior Adult", A1249&gt;=60, "Elderly")</f>
        <v>Young Adult</v>
      </c>
    </row>
    <row r="1250" spans="1:8" x14ac:dyDescent="0.25">
      <c r="A1250" s="1">
        <v>18</v>
      </c>
      <c r="B1250" t="s">
        <v>7</v>
      </c>
      <c r="C1250" s="2">
        <v>39.799999999999997</v>
      </c>
      <c r="D1250" s="1">
        <v>0</v>
      </c>
      <c r="E1250" t="s">
        <v>10</v>
      </c>
      <c r="F1250" t="s">
        <v>12</v>
      </c>
      <c r="G1250" s="3">
        <v>1633.96</v>
      </c>
      <c r="H1250" t="str" cm="1">
        <f t="array" ref="H1250">_xlfn.IFS(A1250&lt;13, "Child", A1250&lt;20, "Teenager", A1250&lt;40, "Young Adult", A1250&lt;60, "Senior Adult", A1250&gt;=60, "Elderly")</f>
        <v>Teenager</v>
      </c>
    </row>
    <row r="1251" spans="1:8" x14ac:dyDescent="0.25">
      <c r="A1251" s="1">
        <v>32</v>
      </c>
      <c r="B1251" t="s">
        <v>8</v>
      </c>
      <c r="C1251" s="2">
        <v>33.6</v>
      </c>
      <c r="D1251" s="1">
        <v>1</v>
      </c>
      <c r="E1251" t="s">
        <v>9</v>
      </c>
      <c r="F1251" t="s">
        <v>14</v>
      </c>
      <c r="G1251" s="3">
        <v>37607.53</v>
      </c>
      <c r="H1251" t="str" cm="1">
        <f t="array" ref="H1251">_xlfn.IFS(A1251&lt;13, "Child", A1251&lt;20, "Teenager", A1251&lt;40, "Young Adult", A1251&lt;60, "Senior Adult", A1251&gt;=60, "Elderly")</f>
        <v>Young Adult</v>
      </c>
    </row>
    <row r="1252" spans="1:8" x14ac:dyDescent="0.25">
      <c r="A1252" s="1">
        <v>24</v>
      </c>
      <c r="B1252" t="s">
        <v>8</v>
      </c>
      <c r="C1252" s="2">
        <v>29.8</v>
      </c>
      <c r="D1252" s="1">
        <v>0</v>
      </c>
      <c r="E1252" t="s">
        <v>9</v>
      </c>
      <c r="F1252" t="s">
        <v>14</v>
      </c>
      <c r="G1252" s="3">
        <v>18648.419999999998</v>
      </c>
      <c r="H1252" t="str" cm="1">
        <f t="array" ref="H1252">_xlfn.IFS(A1252&lt;13, "Child", A1252&lt;20, "Teenager", A1252&lt;40, "Young Adult", A1252&lt;60, "Senior Adult", A1252&gt;=60, "Elderly")</f>
        <v>Young Adult</v>
      </c>
    </row>
    <row r="1253" spans="1:8" x14ac:dyDescent="0.25">
      <c r="A1253" s="1">
        <v>19</v>
      </c>
      <c r="B1253" t="s">
        <v>8</v>
      </c>
      <c r="C1253" s="2">
        <v>19.8</v>
      </c>
      <c r="D1253" s="1">
        <v>0</v>
      </c>
      <c r="E1253" t="s">
        <v>10</v>
      </c>
      <c r="F1253" t="s">
        <v>11</v>
      </c>
      <c r="G1253" s="3">
        <v>1241.57</v>
      </c>
      <c r="H1253" t="str" cm="1">
        <f t="array" ref="H1253">_xlfn.IFS(A1253&lt;13, "Child", A1253&lt;20, "Teenager", A1253&lt;40, "Young Adult", A1253&lt;60, "Senior Adult", A1253&gt;=60, "Elderly")</f>
        <v>Teenager</v>
      </c>
    </row>
    <row r="1254" spans="1:8" x14ac:dyDescent="0.25">
      <c r="A1254" s="1">
        <v>20</v>
      </c>
      <c r="B1254" t="s">
        <v>8</v>
      </c>
      <c r="C1254" s="2">
        <v>27.3</v>
      </c>
      <c r="D1254" s="1">
        <v>0</v>
      </c>
      <c r="E1254" t="s">
        <v>9</v>
      </c>
      <c r="F1254" t="s">
        <v>11</v>
      </c>
      <c r="G1254" s="3">
        <v>16232.85</v>
      </c>
      <c r="H1254" t="str" cm="1">
        <f t="array" ref="H1254">_xlfn.IFS(A1254&lt;13, "Child", A1254&lt;20, "Teenager", A1254&lt;40, "Young Adult", A1254&lt;60, "Senior Adult", A1254&gt;=60, "Elderly")</f>
        <v>Young Adult</v>
      </c>
    </row>
    <row r="1255" spans="1:8" x14ac:dyDescent="0.25">
      <c r="A1255" s="1">
        <v>40</v>
      </c>
      <c r="B1255" t="s">
        <v>7</v>
      </c>
      <c r="C1255" s="2">
        <v>29.3</v>
      </c>
      <c r="D1255" s="1">
        <v>4</v>
      </c>
      <c r="E1255" t="s">
        <v>10</v>
      </c>
      <c r="F1255" t="s">
        <v>11</v>
      </c>
      <c r="G1255" s="3">
        <v>15828.82</v>
      </c>
      <c r="H1255" t="str" cm="1">
        <f t="array" ref="H1255">_xlfn.IFS(A1255&lt;13, "Child", A1255&lt;20, "Teenager", A1255&lt;40, "Young Adult", A1255&lt;60, "Senior Adult", A1255&gt;=60, "Elderly")</f>
        <v>Senior Adult</v>
      </c>
    </row>
    <row r="1256" spans="1:8" x14ac:dyDescent="0.25">
      <c r="A1256" s="1">
        <v>34</v>
      </c>
      <c r="B1256" t="s">
        <v>7</v>
      </c>
      <c r="C1256" s="2">
        <v>27.7</v>
      </c>
      <c r="D1256" s="1">
        <v>0</v>
      </c>
      <c r="E1256" t="s">
        <v>10</v>
      </c>
      <c r="F1256" t="s">
        <v>12</v>
      </c>
      <c r="G1256" s="3">
        <v>4415.16</v>
      </c>
      <c r="H1256" t="str" cm="1">
        <f t="array" ref="H1256">_xlfn.IFS(A1256&lt;13, "Child", A1256&lt;20, "Teenager", A1256&lt;40, "Young Adult", A1256&lt;60, "Senior Adult", A1256&gt;=60, "Elderly")</f>
        <v>Young Adult</v>
      </c>
    </row>
    <row r="1257" spans="1:8" x14ac:dyDescent="0.25">
      <c r="A1257" s="1">
        <v>42</v>
      </c>
      <c r="B1257" t="s">
        <v>7</v>
      </c>
      <c r="C1257" s="2">
        <v>37.9</v>
      </c>
      <c r="D1257" s="1">
        <v>0</v>
      </c>
      <c r="E1257" t="s">
        <v>10</v>
      </c>
      <c r="F1257" t="s">
        <v>11</v>
      </c>
      <c r="G1257" s="3">
        <v>6474.01</v>
      </c>
      <c r="H1257" t="str" cm="1">
        <f t="array" ref="H1257">_xlfn.IFS(A1257&lt;13, "Child", A1257&lt;20, "Teenager", A1257&lt;40, "Young Adult", A1257&lt;60, "Senior Adult", A1257&gt;=60, "Elderly")</f>
        <v>Senior Adult</v>
      </c>
    </row>
    <row r="1258" spans="1:8" x14ac:dyDescent="0.25">
      <c r="A1258" s="1">
        <v>51</v>
      </c>
      <c r="B1258" t="s">
        <v>7</v>
      </c>
      <c r="C1258" s="2">
        <v>36.4</v>
      </c>
      <c r="D1258" s="1">
        <v>3</v>
      </c>
      <c r="E1258" t="s">
        <v>10</v>
      </c>
      <c r="F1258" t="s">
        <v>13</v>
      </c>
      <c r="G1258" s="3">
        <v>11436.74</v>
      </c>
      <c r="H1258" t="str" cm="1">
        <f t="array" ref="H1258">_xlfn.IFS(A1258&lt;13, "Child", A1258&lt;20, "Teenager", A1258&lt;40, "Young Adult", A1258&lt;60, "Senior Adult", A1258&gt;=60, "Elderly")</f>
        <v>Senior Adult</v>
      </c>
    </row>
    <row r="1259" spans="1:8" x14ac:dyDescent="0.25">
      <c r="A1259" s="1">
        <v>54</v>
      </c>
      <c r="B1259" t="s">
        <v>7</v>
      </c>
      <c r="C1259" s="2">
        <v>27.6</v>
      </c>
      <c r="D1259" s="1">
        <v>1</v>
      </c>
      <c r="E1259" t="s">
        <v>10</v>
      </c>
      <c r="F1259" t="s">
        <v>13</v>
      </c>
      <c r="G1259" s="3">
        <v>11305.93</v>
      </c>
      <c r="H1259" t="str" cm="1">
        <f t="array" ref="H1259">_xlfn.IFS(A1259&lt;13, "Child", A1259&lt;20, "Teenager", A1259&lt;40, "Young Adult", A1259&lt;60, "Senior Adult", A1259&gt;=60, "Elderly")</f>
        <v>Senior Adult</v>
      </c>
    </row>
    <row r="1260" spans="1:8" x14ac:dyDescent="0.25">
      <c r="A1260" s="1">
        <v>55</v>
      </c>
      <c r="B1260" t="s">
        <v>8</v>
      </c>
      <c r="C1260" s="2">
        <v>37.700000000000003</v>
      </c>
      <c r="D1260" s="1">
        <v>3</v>
      </c>
      <c r="E1260" t="s">
        <v>10</v>
      </c>
      <c r="F1260" t="s">
        <v>13</v>
      </c>
      <c r="G1260" s="3">
        <v>30063.58</v>
      </c>
      <c r="H1260" t="str" cm="1">
        <f t="array" ref="H1260">_xlfn.IFS(A1260&lt;13, "Child", A1260&lt;20, "Teenager", A1260&lt;40, "Young Adult", A1260&lt;60, "Senior Adult", A1260&gt;=60, "Elderly")</f>
        <v>Senior Adult</v>
      </c>
    </row>
    <row r="1261" spans="1:8" x14ac:dyDescent="0.25">
      <c r="A1261" s="1">
        <v>52</v>
      </c>
      <c r="B1261" t="s">
        <v>7</v>
      </c>
      <c r="C1261" s="2">
        <v>23.2</v>
      </c>
      <c r="D1261" s="1">
        <v>0</v>
      </c>
      <c r="E1261" t="s">
        <v>10</v>
      </c>
      <c r="F1261" t="s">
        <v>14</v>
      </c>
      <c r="G1261" s="3">
        <v>10197.77</v>
      </c>
      <c r="H1261" t="str" cm="1">
        <f t="array" ref="H1261">_xlfn.IFS(A1261&lt;13, "Child", A1261&lt;20, "Teenager", A1261&lt;40, "Young Adult", A1261&lt;60, "Senior Adult", A1261&gt;=60, "Elderly")</f>
        <v>Senior Adult</v>
      </c>
    </row>
    <row r="1262" spans="1:8" x14ac:dyDescent="0.25">
      <c r="A1262" s="1">
        <v>32</v>
      </c>
      <c r="B1262" t="s">
        <v>7</v>
      </c>
      <c r="C1262" s="2">
        <v>20.5</v>
      </c>
      <c r="D1262" s="1">
        <v>0</v>
      </c>
      <c r="E1262" t="s">
        <v>10</v>
      </c>
      <c r="F1262" t="s">
        <v>14</v>
      </c>
      <c r="G1262" s="3">
        <v>4544.2299999999996</v>
      </c>
      <c r="H1262" t="str" cm="1">
        <f t="array" ref="H1262">_xlfn.IFS(A1262&lt;13, "Child", A1262&lt;20, "Teenager", A1262&lt;40, "Young Adult", A1262&lt;60, "Senior Adult", A1262&gt;=60, "Elderly")</f>
        <v>Young Adult</v>
      </c>
    </row>
    <row r="1263" spans="1:8" x14ac:dyDescent="0.25">
      <c r="A1263" s="1">
        <v>28</v>
      </c>
      <c r="B1263" t="s">
        <v>8</v>
      </c>
      <c r="C1263" s="2">
        <v>37.1</v>
      </c>
      <c r="D1263" s="1">
        <v>1</v>
      </c>
      <c r="E1263" t="s">
        <v>10</v>
      </c>
      <c r="F1263" t="s">
        <v>11</v>
      </c>
      <c r="G1263" s="3">
        <v>3277.16</v>
      </c>
      <c r="H1263" t="str" cm="1">
        <f t="array" ref="H1263">_xlfn.IFS(A1263&lt;13, "Child", A1263&lt;20, "Teenager", A1263&lt;40, "Young Adult", A1263&lt;60, "Senior Adult", A1263&gt;=60, "Elderly")</f>
        <v>Young Adult</v>
      </c>
    </row>
    <row r="1264" spans="1:8" x14ac:dyDescent="0.25">
      <c r="A1264" s="1">
        <v>41</v>
      </c>
      <c r="B1264" t="s">
        <v>7</v>
      </c>
      <c r="C1264" s="2">
        <v>28.1</v>
      </c>
      <c r="D1264" s="1">
        <v>1</v>
      </c>
      <c r="E1264" t="s">
        <v>10</v>
      </c>
      <c r="F1264" t="s">
        <v>12</v>
      </c>
      <c r="G1264" s="3">
        <v>6770.19</v>
      </c>
      <c r="H1264" t="str" cm="1">
        <f t="array" ref="H1264">_xlfn.IFS(A1264&lt;13, "Child", A1264&lt;20, "Teenager", A1264&lt;40, "Young Adult", A1264&lt;60, "Senior Adult", A1264&gt;=60, "Elderly")</f>
        <v>Senior Adult</v>
      </c>
    </row>
    <row r="1265" spans="1:8" x14ac:dyDescent="0.25">
      <c r="A1265" s="1">
        <v>43</v>
      </c>
      <c r="B1265" t="s">
        <v>7</v>
      </c>
      <c r="C1265" s="2">
        <v>29.9</v>
      </c>
      <c r="D1265" s="1">
        <v>1</v>
      </c>
      <c r="E1265" t="s">
        <v>10</v>
      </c>
      <c r="F1265" t="s">
        <v>11</v>
      </c>
      <c r="G1265" s="3">
        <v>7337.75</v>
      </c>
      <c r="H1265" t="str" cm="1">
        <f t="array" ref="H1265">_xlfn.IFS(A1265&lt;13, "Child", A1265&lt;20, "Teenager", A1265&lt;40, "Young Adult", A1265&lt;60, "Senior Adult", A1265&gt;=60, "Elderly")</f>
        <v>Senior Adult</v>
      </c>
    </row>
    <row r="1266" spans="1:8" x14ac:dyDescent="0.25">
      <c r="A1266" s="1">
        <v>49</v>
      </c>
      <c r="B1266" t="s">
        <v>7</v>
      </c>
      <c r="C1266" s="2">
        <v>33.299999999999997</v>
      </c>
      <c r="D1266" s="1">
        <v>2</v>
      </c>
      <c r="E1266" t="s">
        <v>10</v>
      </c>
      <c r="F1266" t="s">
        <v>14</v>
      </c>
      <c r="G1266" s="3">
        <v>10370.91</v>
      </c>
      <c r="H1266" t="str" cm="1">
        <f t="array" ref="H1266">_xlfn.IFS(A1266&lt;13, "Child", A1266&lt;20, "Teenager", A1266&lt;40, "Young Adult", A1266&lt;60, "Senior Adult", A1266&gt;=60, "Elderly")</f>
        <v>Senior Adult</v>
      </c>
    </row>
    <row r="1267" spans="1:8" x14ac:dyDescent="0.25">
      <c r="A1267" s="1">
        <v>64</v>
      </c>
      <c r="B1267" t="s">
        <v>8</v>
      </c>
      <c r="C1267" s="2">
        <v>23.8</v>
      </c>
      <c r="D1267" s="1">
        <v>0</v>
      </c>
      <c r="E1267" t="s">
        <v>9</v>
      </c>
      <c r="F1267" t="s">
        <v>12</v>
      </c>
      <c r="G1267" s="3">
        <v>26926.51</v>
      </c>
      <c r="H1267" t="str" cm="1">
        <f t="array" ref="H1267">_xlfn.IFS(A1267&lt;13, "Child", A1267&lt;20, "Teenager", A1267&lt;40, "Young Adult", A1267&lt;60, "Senior Adult", A1267&gt;=60, "Elderly")</f>
        <v>Elderly</v>
      </c>
    </row>
    <row r="1268" spans="1:8" x14ac:dyDescent="0.25">
      <c r="A1268" s="1">
        <v>55</v>
      </c>
      <c r="B1268" t="s">
        <v>7</v>
      </c>
      <c r="C1268" s="2">
        <v>30.5</v>
      </c>
      <c r="D1268" s="1">
        <v>0</v>
      </c>
      <c r="E1268" t="s">
        <v>10</v>
      </c>
      <c r="F1268" t="s">
        <v>11</v>
      </c>
      <c r="G1268" s="3">
        <v>10704.47</v>
      </c>
      <c r="H1268" t="str" cm="1">
        <f t="array" ref="H1268">_xlfn.IFS(A1268&lt;13, "Child", A1268&lt;20, "Teenager", A1268&lt;40, "Young Adult", A1268&lt;60, "Senior Adult", A1268&gt;=60, "Elderly")</f>
        <v>Senior Adult</v>
      </c>
    </row>
    <row r="1269" spans="1:8" x14ac:dyDescent="0.25">
      <c r="A1269" s="1">
        <v>24</v>
      </c>
      <c r="B1269" t="s">
        <v>8</v>
      </c>
      <c r="C1269" s="2">
        <v>31.1</v>
      </c>
      <c r="D1269" s="1">
        <v>0</v>
      </c>
      <c r="E1269" t="s">
        <v>9</v>
      </c>
      <c r="F1269" t="s">
        <v>14</v>
      </c>
      <c r="G1269" s="3">
        <v>34254.050000000003</v>
      </c>
      <c r="H1269" t="str" cm="1">
        <f t="array" ref="H1269">_xlfn.IFS(A1269&lt;13, "Child", A1269&lt;20, "Teenager", A1269&lt;40, "Young Adult", A1269&lt;60, "Senior Adult", A1269&gt;=60, "Elderly")</f>
        <v>Young Adult</v>
      </c>
    </row>
    <row r="1270" spans="1:8" x14ac:dyDescent="0.25">
      <c r="A1270" s="1">
        <v>20</v>
      </c>
      <c r="B1270" t="s">
        <v>7</v>
      </c>
      <c r="C1270" s="2">
        <v>33.299999999999997</v>
      </c>
      <c r="D1270" s="1">
        <v>0</v>
      </c>
      <c r="E1270" t="s">
        <v>10</v>
      </c>
      <c r="F1270" t="s">
        <v>11</v>
      </c>
      <c r="G1270" s="3">
        <v>1880.49</v>
      </c>
      <c r="H1270" t="str" cm="1">
        <f t="array" ref="H1270">_xlfn.IFS(A1270&lt;13, "Child", A1270&lt;20, "Teenager", A1270&lt;40, "Young Adult", A1270&lt;60, "Senior Adult", A1270&gt;=60, "Elderly")</f>
        <v>Young Adult</v>
      </c>
    </row>
    <row r="1271" spans="1:8" x14ac:dyDescent="0.25">
      <c r="A1271" s="1">
        <v>45</v>
      </c>
      <c r="B1271" t="s">
        <v>8</v>
      </c>
      <c r="C1271" s="2">
        <v>27.5</v>
      </c>
      <c r="D1271" s="1">
        <v>3</v>
      </c>
      <c r="E1271" t="s">
        <v>10</v>
      </c>
      <c r="F1271" t="s">
        <v>11</v>
      </c>
      <c r="G1271" s="3">
        <v>8615.2999999999993</v>
      </c>
      <c r="H1271" t="str" cm="1">
        <f t="array" ref="H1271">_xlfn.IFS(A1271&lt;13, "Child", A1271&lt;20, "Teenager", A1271&lt;40, "Young Adult", A1271&lt;60, "Senior Adult", A1271&gt;=60, "Elderly")</f>
        <v>Senior Adult</v>
      </c>
    </row>
    <row r="1272" spans="1:8" x14ac:dyDescent="0.25">
      <c r="A1272" s="1">
        <v>26</v>
      </c>
      <c r="B1272" t="s">
        <v>8</v>
      </c>
      <c r="C1272" s="2">
        <v>33.9</v>
      </c>
      <c r="D1272" s="1">
        <v>1</v>
      </c>
      <c r="E1272" t="s">
        <v>10</v>
      </c>
      <c r="F1272" t="s">
        <v>13</v>
      </c>
      <c r="G1272" s="3">
        <v>3292.53</v>
      </c>
      <c r="H1272" t="str" cm="1">
        <f t="array" ref="H1272">_xlfn.IFS(A1272&lt;13, "Child", A1272&lt;20, "Teenager", A1272&lt;40, "Young Adult", A1272&lt;60, "Senior Adult", A1272&gt;=60, "Elderly")</f>
        <v>Young Adult</v>
      </c>
    </row>
    <row r="1273" spans="1:8" x14ac:dyDescent="0.25">
      <c r="A1273" s="1">
        <v>25</v>
      </c>
      <c r="B1273" t="s">
        <v>7</v>
      </c>
      <c r="C1273" s="2">
        <v>34.5</v>
      </c>
      <c r="D1273" s="1">
        <v>0</v>
      </c>
      <c r="E1273" t="s">
        <v>10</v>
      </c>
      <c r="F1273" t="s">
        <v>13</v>
      </c>
      <c r="G1273" s="3">
        <v>3021.81</v>
      </c>
      <c r="H1273" t="str" cm="1">
        <f t="array" ref="H1273">_xlfn.IFS(A1273&lt;13, "Child", A1273&lt;20, "Teenager", A1273&lt;40, "Young Adult", A1273&lt;60, "Senior Adult", A1273&gt;=60, "Elderly")</f>
        <v>Young Adult</v>
      </c>
    </row>
    <row r="1274" spans="1:8" x14ac:dyDescent="0.25">
      <c r="A1274" s="1">
        <v>43</v>
      </c>
      <c r="B1274" t="s">
        <v>8</v>
      </c>
      <c r="C1274" s="2">
        <v>25.5</v>
      </c>
      <c r="D1274" s="1">
        <v>5</v>
      </c>
      <c r="E1274" t="s">
        <v>10</v>
      </c>
      <c r="F1274" t="s">
        <v>12</v>
      </c>
      <c r="G1274" s="3">
        <v>14478.33</v>
      </c>
      <c r="H1274" t="str" cm="1">
        <f t="array" ref="H1274">_xlfn.IFS(A1274&lt;13, "Child", A1274&lt;20, "Teenager", A1274&lt;40, "Young Adult", A1274&lt;60, "Senior Adult", A1274&gt;=60, "Elderly")</f>
        <v>Senior Adult</v>
      </c>
    </row>
    <row r="1275" spans="1:8" x14ac:dyDescent="0.25">
      <c r="A1275" s="1">
        <v>35</v>
      </c>
      <c r="B1275" t="s">
        <v>8</v>
      </c>
      <c r="C1275" s="2">
        <v>27.6</v>
      </c>
      <c r="D1275" s="1">
        <v>1</v>
      </c>
      <c r="E1275" t="s">
        <v>10</v>
      </c>
      <c r="F1275" t="s">
        <v>12</v>
      </c>
      <c r="G1275" s="3">
        <v>4747.05</v>
      </c>
      <c r="H1275" t="str" cm="1">
        <f t="array" ref="H1275">_xlfn.IFS(A1275&lt;13, "Child", A1275&lt;20, "Teenager", A1275&lt;40, "Young Adult", A1275&lt;60, "Senior Adult", A1275&gt;=60, "Elderly")</f>
        <v>Young Adult</v>
      </c>
    </row>
    <row r="1276" spans="1:8" x14ac:dyDescent="0.25">
      <c r="A1276" s="1">
        <v>26</v>
      </c>
      <c r="B1276" t="s">
        <v>8</v>
      </c>
      <c r="C1276" s="2">
        <v>27.1</v>
      </c>
      <c r="D1276" s="1">
        <v>0</v>
      </c>
      <c r="E1276" t="s">
        <v>9</v>
      </c>
      <c r="F1276" t="s">
        <v>12</v>
      </c>
      <c r="G1276" s="3">
        <v>17043.34</v>
      </c>
      <c r="H1276" t="str" cm="1">
        <f t="array" ref="H1276">_xlfn.IFS(A1276&lt;13, "Child", A1276&lt;20, "Teenager", A1276&lt;40, "Young Adult", A1276&lt;60, "Senior Adult", A1276&gt;=60, "Elderly")</f>
        <v>Young Adult</v>
      </c>
    </row>
    <row r="1277" spans="1:8" x14ac:dyDescent="0.25">
      <c r="A1277" s="1">
        <v>57</v>
      </c>
      <c r="B1277" t="s">
        <v>8</v>
      </c>
      <c r="C1277" s="2">
        <v>23.7</v>
      </c>
      <c r="D1277" s="1">
        <v>0</v>
      </c>
      <c r="E1277" t="s">
        <v>10</v>
      </c>
      <c r="F1277" t="s">
        <v>11</v>
      </c>
      <c r="G1277" s="3">
        <v>10959.33</v>
      </c>
      <c r="H1277" t="str" cm="1">
        <f t="array" ref="H1277">_xlfn.IFS(A1277&lt;13, "Child", A1277&lt;20, "Teenager", A1277&lt;40, "Young Adult", A1277&lt;60, "Senior Adult", A1277&gt;=60, "Elderly")</f>
        <v>Senior Adult</v>
      </c>
    </row>
    <row r="1278" spans="1:8" x14ac:dyDescent="0.25">
      <c r="A1278" s="1">
        <v>22</v>
      </c>
      <c r="B1278" t="s">
        <v>7</v>
      </c>
      <c r="C1278" s="2">
        <v>30.4</v>
      </c>
      <c r="D1278" s="1">
        <v>0</v>
      </c>
      <c r="E1278" t="s">
        <v>10</v>
      </c>
      <c r="F1278" t="s">
        <v>14</v>
      </c>
      <c r="G1278" s="3">
        <v>2741.95</v>
      </c>
      <c r="H1278" t="str" cm="1">
        <f t="array" ref="H1278">_xlfn.IFS(A1278&lt;13, "Child", A1278&lt;20, "Teenager", A1278&lt;40, "Young Adult", A1278&lt;60, "Senior Adult", A1278&gt;=60, "Elderly")</f>
        <v>Young Adult</v>
      </c>
    </row>
    <row r="1279" spans="1:8" x14ac:dyDescent="0.25">
      <c r="A1279" s="1">
        <v>32</v>
      </c>
      <c r="B1279" t="s">
        <v>7</v>
      </c>
      <c r="C1279" s="2">
        <v>29.7</v>
      </c>
      <c r="D1279" s="1">
        <v>0</v>
      </c>
      <c r="E1279" t="s">
        <v>10</v>
      </c>
      <c r="F1279" t="s">
        <v>13</v>
      </c>
      <c r="G1279" s="3">
        <v>4357.04</v>
      </c>
      <c r="H1279" t="str" cm="1">
        <f t="array" ref="H1279">_xlfn.IFS(A1279&lt;13, "Child", A1279&lt;20, "Teenager", A1279&lt;40, "Young Adult", A1279&lt;60, "Senior Adult", A1279&gt;=60, "Elderly")</f>
        <v>Young Adult</v>
      </c>
    </row>
    <row r="1280" spans="1:8" x14ac:dyDescent="0.25">
      <c r="A1280" s="1">
        <v>39</v>
      </c>
      <c r="B1280" t="s">
        <v>8</v>
      </c>
      <c r="C1280" s="2">
        <v>29.9</v>
      </c>
      <c r="D1280" s="1">
        <v>1</v>
      </c>
      <c r="E1280" t="s">
        <v>9</v>
      </c>
      <c r="F1280" t="s">
        <v>14</v>
      </c>
      <c r="G1280" s="3">
        <v>22462.04</v>
      </c>
      <c r="H1280" t="str" cm="1">
        <f t="array" ref="H1280">_xlfn.IFS(A1280&lt;13, "Child", A1280&lt;20, "Teenager", A1280&lt;40, "Young Adult", A1280&lt;60, "Senior Adult", A1280&gt;=60, "Elderly")</f>
        <v>Young Adult</v>
      </c>
    </row>
    <row r="1281" spans="1:8" x14ac:dyDescent="0.25">
      <c r="A1281" s="1">
        <v>25</v>
      </c>
      <c r="B1281" t="s">
        <v>7</v>
      </c>
      <c r="C1281" s="2">
        <v>26.8</v>
      </c>
      <c r="D1281" s="1">
        <v>2</v>
      </c>
      <c r="E1281" t="s">
        <v>10</v>
      </c>
      <c r="F1281" t="s">
        <v>13</v>
      </c>
      <c r="G1281" s="3">
        <v>4189.1099999999997</v>
      </c>
      <c r="H1281" t="str" cm="1">
        <f t="array" ref="H1281">_xlfn.IFS(A1281&lt;13, "Child", A1281&lt;20, "Teenager", A1281&lt;40, "Young Adult", A1281&lt;60, "Senior Adult", A1281&gt;=60, "Elderly")</f>
        <v>Young Adult</v>
      </c>
    </row>
    <row r="1282" spans="1:8" x14ac:dyDescent="0.25">
      <c r="A1282" s="1">
        <v>48</v>
      </c>
      <c r="B1282" t="s">
        <v>7</v>
      </c>
      <c r="C1282" s="2">
        <v>33.299999999999997</v>
      </c>
      <c r="D1282" s="1">
        <v>0</v>
      </c>
      <c r="E1282" t="s">
        <v>10</v>
      </c>
      <c r="F1282" t="s">
        <v>12</v>
      </c>
      <c r="G1282" s="3">
        <v>8283.68</v>
      </c>
      <c r="H1282" t="str" cm="1">
        <f t="array" ref="H1282">_xlfn.IFS(A1282&lt;13, "Child", A1282&lt;20, "Teenager", A1282&lt;40, "Young Adult", A1282&lt;60, "Senior Adult", A1282&gt;=60, "Elderly")</f>
        <v>Senior Adult</v>
      </c>
    </row>
    <row r="1283" spans="1:8" x14ac:dyDescent="0.25">
      <c r="A1283" s="1">
        <v>47</v>
      </c>
      <c r="B1283" t="s">
        <v>7</v>
      </c>
      <c r="C1283" s="2">
        <v>27.6</v>
      </c>
      <c r="D1283" s="1">
        <v>2</v>
      </c>
      <c r="E1283" t="s">
        <v>9</v>
      </c>
      <c r="F1283" t="s">
        <v>13</v>
      </c>
      <c r="G1283" s="3">
        <v>24535.7</v>
      </c>
      <c r="H1283" t="str" cm="1">
        <f t="array" ref="H1283">_xlfn.IFS(A1283&lt;13, "Child", A1283&lt;20, "Teenager", A1283&lt;40, "Young Adult", A1283&lt;60, "Senior Adult", A1283&gt;=60, "Elderly")</f>
        <v>Senior Adult</v>
      </c>
    </row>
    <row r="1284" spans="1:8" x14ac:dyDescent="0.25">
      <c r="A1284" s="1">
        <v>18</v>
      </c>
      <c r="B1284" t="s">
        <v>7</v>
      </c>
      <c r="C1284" s="2">
        <v>21.7</v>
      </c>
      <c r="D1284" s="1">
        <v>0</v>
      </c>
      <c r="E1284" t="s">
        <v>9</v>
      </c>
      <c r="F1284" t="s">
        <v>14</v>
      </c>
      <c r="G1284" s="3">
        <v>14283.46</v>
      </c>
      <c r="H1284" t="str" cm="1">
        <f t="array" ref="H1284">_xlfn.IFS(A1284&lt;13, "Child", A1284&lt;20, "Teenager", A1284&lt;40, "Young Adult", A1284&lt;60, "Senior Adult", A1284&gt;=60, "Elderly")</f>
        <v>Teenager</v>
      </c>
    </row>
    <row r="1285" spans="1:8" x14ac:dyDescent="0.25">
      <c r="A1285" s="1">
        <v>18</v>
      </c>
      <c r="B1285" t="s">
        <v>8</v>
      </c>
      <c r="C1285" s="2">
        <v>30</v>
      </c>
      <c r="D1285" s="1">
        <v>1</v>
      </c>
      <c r="E1285" t="s">
        <v>10</v>
      </c>
      <c r="F1285" t="s">
        <v>12</v>
      </c>
      <c r="G1285" s="3">
        <v>1720.35</v>
      </c>
      <c r="H1285" t="str" cm="1">
        <f t="array" ref="H1285">_xlfn.IFS(A1285&lt;13, "Child", A1285&lt;20, "Teenager", A1285&lt;40, "Young Adult", A1285&lt;60, "Senior Adult", A1285&gt;=60, "Elderly")</f>
        <v>Teenager</v>
      </c>
    </row>
    <row r="1286" spans="1:8" x14ac:dyDescent="0.25">
      <c r="A1286" s="1">
        <v>61</v>
      </c>
      <c r="B1286" t="s">
        <v>8</v>
      </c>
      <c r="C1286" s="2">
        <v>36.299999999999997</v>
      </c>
      <c r="D1286" s="1">
        <v>1</v>
      </c>
      <c r="E1286" t="s">
        <v>9</v>
      </c>
      <c r="F1286" t="s">
        <v>11</v>
      </c>
      <c r="G1286" s="3">
        <v>47403.88</v>
      </c>
      <c r="H1286" t="str" cm="1">
        <f t="array" ref="H1286">_xlfn.IFS(A1286&lt;13, "Child", A1286&lt;20, "Teenager", A1286&lt;40, "Young Adult", A1286&lt;60, "Senior Adult", A1286&gt;=60, "Elderly")</f>
        <v>Elderly</v>
      </c>
    </row>
    <row r="1287" spans="1:8" x14ac:dyDescent="0.25">
      <c r="A1287" s="1">
        <v>47</v>
      </c>
      <c r="B1287" t="s">
        <v>7</v>
      </c>
      <c r="C1287" s="2">
        <v>24.3</v>
      </c>
      <c r="D1287" s="1">
        <v>0</v>
      </c>
      <c r="E1287" t="s">
        <v>10</v>
      </c>
      <c r="F1287" t="s">
        <v>14</v>
      </c>
      <c r="G1287" s="3">
        <v>8534.67</v>
      </c>
      <c r="H1287" t="str" cm="1">
        <f t="array" ref="H1287">_xlfn.IFS(A1287&lt;13, "Child", A1287&lt;20, "Teenager", A1287&lt;40, "Young Adult", A1287&lt;60, "Senior Adult", A1287&gt;=60, "Elderly")</f>
        <v>Senior Adult</v>
      </c>
    </row>
    <row r="1288" spans="1:8" x14ac:dyDescent="0.25">
      <c r="A1288" s="1">
        <v>28</v>
      </c>
      <c r="B1288" t="s">
        <v>7</v>
      </c>
      <c r="C1288" s="2">
        <v>17.3</v>
      </c>
      <c r="D1288" s="1">
        <v>0</v>
      </c>
      <c r="E1288" t="s">
        <v>10</v>
      </c>
      <c r="F1288" t="s">
        <v>14</v>
      </c>
      <c r="G1288" s="3">
        <v>3732.63</v>
      </c>
      <c r="H1288" t="str" cm="1">
        <f t="array" ref="H1288">_xlfn.IFS(A1288&lt;13, "Child", A1288&lt;20, "Teenager", A1288&lt;40, "Young Adult", A1288&lt;60, "Senior Adult", A1288&gt;=60, "Elderly")</f>
        <v>Young Adult</v>
      </c>
    </row>
    <row r="1289" spans="1:8" x14ac:dyDescent="0.25">
      <c r="A1289" s="1">
        <v>36</v>
      </c>
      <c r="B1289" t="s">
        <v>7</v>
      </c>
      <c r="C1289" s="2">
        <v>25.9</v>
      </c>
      <c r="D1289" s="1">
        <v>1</v>
      </c>
      <c r="E1289" t="s">
        <v>10</v>
      </c>
      <c r="F1289" t="s">
        <v>11</v>
      </c>
      <c r="G1289" s="3">
        <v>5472.45</v>
      </c>
      <c r="H1289" t="str" cm="1">
        <f t="array" ref="H1289">_xlfn.IFS(A1289&lt;13, "Child", A1289&lt;20, "Teenager", A1289&lt;40, "Young Adult", A1289&lt;60, "Senior Adult", A1289&gt;=60, "Elderly")</f>
        <v>Young Adult</v>
      </c>
    </row>
    <row r="1290" spans="1:8" x14ac:dyDescent="0.25">
      <c r="A1290" s="1">
        <v>20</v>
      </c>
      <c r="B1290" t="s">
        <v>8</v>
      </c>
      <c r="C1290" s="2">
        <v>39.4</v>
      </c>
      <c r="D1290" s="1">
        <v>2</v>
      </c>
      <c r="E1290" t="s">
        <v>9</v>
      </c>
      <c r="F1290" t="s">
        <v>11</v>
      </c>
      <c r="G1290" s="3">
        <v>38344.57</v>
      </c>
      <c r="H1290" t="str" cm="1">
        <f t="array" ref="H1290">_xlfn.IFS(A1290&lt;13, "Child", A1290&lt;20, "Teenager", A1290&lt;40, "Young Adult", A1290&lt;60, "Senior Adult", A1290&gt;=60, "Elderly")</f>
        <v>Young Adult</v>
      </c>
    </row>
    <row r="1291" spans="1:8" x14ac:dyDescent="0.25">
      <c r="A1291" s="1">
        <v>44</v>
      </c>
      <c r="B1291" t="s">
        <v>8</v>
      </c>
      <c r="C1291" s="2">
        <v>34.299999999999997</v>
      </c>
      <c r="D1291" s="1">
        <v>1</v>
      </c>
      <c r="E1291" t="s">
        <v>10</v>
      </c>
      <c r="F1291" t="s">
        <v>12</v>
      </c>
      <c r="G1291" s="3">
        <v>7147.47</v>
      </c>
      <c r="H1291" t="str" cm="1">
        <f t="array" ref="H1291">_xlfn.IFS(A1291&lt;13, "Child", A1291&lt;20, "Teenager", A1291&lt;40, "Young Adult", A1291&lt;60, "Senior Adult", A1291&gt;=60, "Elderly")</f>
        <v>Senior Adult</v>
      </c>
    </row>
    <row r="1292" spans="1:8" x14ac:dyDescent="0.25">
      <c r="A1292" s="1">
        <v>38</v>
      </c>
      <c r="B1292" t="s">
        <v>7</v>
      </c>
      <c r="C1292" s="2">
        <v>20</v>
      </c>
      <c r="D1292" s="1">
        <v>2</v>
      </c>
      <c r="E1292" t="s">
        <v>10</v>
      </c>
      <c r="F1292" t="s">
        <v>14</v>
      </c>
      <c r="G1292" s="3">
        <v>7133.9</v>
      </c>
      <c r="H1292" t="str" cm="1">
        <f t="array" ref="H1292">_xlfn.IFS(A1292&lt;13, "Child", A1292&lt;20, "Teenager", A1292&lt;40, "Young Adult", A1292&lt;60, "Senior Adult", A1292&gt;=60, "Elderly")</f>
        <v>Young Adult</v>
      </c>
    </row>
    <row r="1293" spans="1:8" x14ac:dyDescent="0.25">
      <c r="A1293" s="1">
        <v>19</v>
      </c>
      <c r="B1293" t="s">
        <v>8</v>
      </c>
      <c r="C1293" s="2">
        <v>34.9</v>
      </c>
      <c r="D1293" s="1">
        <v>0</v>
      </c>
      <c r="E1293" t="s">
        <v>9</v>
      </c>
      <c r="F1293" t="s">
        <v>11</v>
      </c>
      <c r="G1293" s="3">
        <v>34828.65</v>
      </c>
      <c r="H1293" t="str" cm="1">
        <f t="array" ref="H1293">_xlfn.IFS(A1293&lt;13, "Child", A1293&lt;20, "Teenager", A1293&lt;40, "Young Adult", A1293&lt;60, "Senior Adult", A1293&gt;=60, "Elderly")</f>
        <v>Teenager</v>
      </c>
    </row>
    <row r="1294" spans="1:8" x14ac:dyDescent="0.25">
      <c r="A1294" s="1">
        <v>21</v>
      </c>
      <c r="B1294" t="s">
        <v>8</v>
      </c>
      <c r="C1294" s="2">
        <v>23.2</v>
      </c>
      <c r="D1294" s="1">
        <v>0</v>
      </c>
      <c r="E1294" t="s">
        <v>10</v>
      </c>
      <c r="F1294" t="s">
        <v>12</v>
      </c>
      <c r="G1294" s="3">
        <v>1515.34</v>
      </c>
      <c r="H1294" t="str" cm="1">
        <f t="array" ref="H1294">_xlfn.IFS(A1294&lt;13, "Child", A1294&lt;20, "Teenager", A1294&lt;40, "Young Adult", A1294&lt;60, "Senior Adult", A1294&gt;=60, "Elderly")</f>
        <v>Young Adult</v>
      </c>
    </row>
    <row r="1295" spans="1:8" x14ac:dyDescent="0.25">
      <c r="A1295" s="1">
        <v>46</v>
      </c>
      <c r="B1295" t="s">
        <v>8</v>
      </c>
      <c r="C1295" s="2">
        <v>25.7</v>
      </c>
      <c r="D1295" s="1">
        <v>3</v>
      </c>
      <c r="E1295" t="s">
        <v>10</v>
      </c>
      <c r="F1295" t="s">
        <v>13</v>
      </c>
      <c r="G1295" s="3">
        <v>9301.89</v>
      </c>
      <c r="H1295" t="str" cm="1">
        <f t="array" ref="H1295">_xlfn.IFS(A1295&lt;13, "Child", A1295&lt;20, "Teenager", A1295&lt;40, "Young Adult", A1295&lt;60, "Senior Adult", A1295&gt;=60, "Elderly")</f>
        <v>Senior Adult</v>
      </c>
    </row>
    <row r="1296" spans="1:8" x14ac:dyDescent="0.25">
      <c r="A1296" s="1">
        <v>58</v>
      </c>
      <c r="B1296" t="s">
        <v>8</v>
      </c>
      <c r="C1296" s="2">
        <v>25.2</v>
      </c>
      <c r="D1296" s="1">
        <v>0</v>
      </c>
      <c r="E1296" t="s">
        <v>10</v>
      </c>
      <c r="F1296" t="s">
        <v>14</v>
      </c>
      <c r="G1296" s="3">
        <v>11931.13</v>
      </c>
      <c r="H1296" t="str" cm="1">
        <f t="array" ref="H1296">_xlfn.IFS(A1296&lt;13, "Child", A1296&lt;20, "Teenager", A1296&lt;40, "Young Adult", A1296&lt;60, "Senior Adult", A1296&gt;=60, "Elderly")</f>
        <v>Senior Adult</v>
      </c>
    </row>
    <row r="1297" spans="1:8" x14ac:dyDescent="0.25">
      <c r="A1297" s="1">
        <v>20</v>
      </c>
      <c r="B1297" t="s">
        <v>8</v>
      </c>
      <c r="C1297" s="2">
        <v>22</v>
      </c>
      <c r="D1297" s="1">
        <v>1</v>
      </c>
      <c r="E1297" t="s">
        <v>10</v>
      </c>
      <c r="F1297" t="s">
        <v>11</v>
      </c>
      <c r="G1297" s="3">
        <v>1964.78</v>
      </c>
      <c r="H1297" t="str" cm="1">
        <f t="array" ref="H1297">_xlfn.IFS(A1297&lt;13, "Child", A1297&lt;20, "Teenager", A1297&lt;40, "Young Adult", A1297&lt;60, "Senior Adult", A1297&gt;=60, "Elderly")</f>
        <v>Young Adult</v>
      </c>
    </row>
    <row r="1298" spans="1:8" x14ac:dyDescent="0.25">
      <c r="A1298" s="1">
        <v>18</v>
      </c>
      <c r="B1298" t="s">
        <v>8</v>
      </c>
      <c r="C1298" s="2">
        <v>26.1</v>
      </c>
      <c r="D1298" s="1">
        <v>0</v>
      </c>
      <c r="E1298" t="s">
        <v>10</v>
      </c>
      <c r="F1298" t="s">
        <v>14</v>
      </c>
      <c r="G1298" s="3">
        <v>1708.93</v>
      </c>
      <c r="H1298" t="str" cm="1">
        <f t="array" ref="H1298">_xlfn.IFS(A1298&lt;13, "Child", A1298&lt;20, "Teenager", A1298&lt;40, "Young Adult", A1298&lt;60, "Senior Adult", A1298&gt;=60, "Elderly")</f>
        <v>Teenager</v>
      </c>
    </row>
    <row r="1299" spans="1:8" x14ac:dyDescent="0.25">
      <c r="A1299" s="1">
        <v>28</v>
      </c>
      <c r="B1299" t="s">
        <v>7</v>
      </c>
      <c r="C1299" s="2">
        <v>26.5</v>
      </c>
      <c r="D1299" s="1">
        <v>2</v>
      </c>
      <c r="E1299" t="s">
        <v>10</v>
      </c>
      <c r="F1299" t="s">
        <v>12</v>
      </c>
      <c r="G1299" s="3">
        <v>4340.4399999999996</v>
      </c>
      <c r="H1299" t="str" cm="1">
        <f t="array" ref="H1299">_xlfn.IFS(A1299&lt;13, "Child", A1299&lt;20, "Teenager", A1299&lt;40, "Young Adult", A1299&lt;60, "Senior Adult", A1299&gt;=60, "Elderly")</f>
        <v>Young Adult</v>
      </c>
    </row>
    <row r="1300" spans="1:8" x14ac:dyDescent="0.25">
      <c r="A1300" s="1">
        <v>33</v>
      </c>
      <c r="B1300" t="s">
        <v>8</v>
      </c>
      <c r="C1300" s="2">
        <v>27.5</v>
      </c>
      <c r="D1300" s="1">
        <v>2</v>
      </c>
      <c r="E1300" t="s">
        <v>10</v>
      </c>
      <c r="F1300" t="s">
        <v>13</v>
      </c>
      <c r="G1300" s="3">
        <v>5261.47</v>
      </c>
      <c r="H1300" t="str" cm="1">
        <f t="array" ref="H1300">_xlfn.IFS(A1300&lt;13, "Child", A1300&lt;20, "Teenager", A1300&lt;40, "Young Adult", A1300&lt;60, "Senior Adult", A1300&gt;=60, "Elderly")</f>
        <v>Young Adult</v>
      </c>
    </row>
    <row r="1301" spans="1:8" x14ac:dyDescent="0.25">
      <c r="A1301" s="1">
        <v>19</v>
      </c>
      <c r="B1301" t="s">
        <v>7</v>
      </c>
      <c r="C1301" s="2">
        <v>25.7</v>
      </c>
      <c r="D1301" s="1">
        <v>1</v>
      </c>
      <c r="E1301" t="s">
        <v>10</v>
      </c>
      <c r="F1301" t="s">
        <v>13</v>
      </c>
      <c r="G1301" s="3">
        <v>2710.83</v>
      </c>
      <c r="H1301" t="str" cm="1">
        <f t="array" ref="H1301">_xlfn.IFS(A1301&lt;13, "Child", A1301&lt;20, "Teenager", A1301&lt;40, "Young Adult", A1301&lt;60, "Senior Adult", A1301&gt;=60, "Elderly")</f>
        <v>Teenager</v>
      </c>
    </row>
    <row r="1302" spans="1:8" x14ac:dyDescent="0.25">
      <c r="A1302" s="1">
        <v>45</v>
      </c>
      <c r="B1302" t="s">
        <v>8</v>
      </c>
      <c r="C1302" s="2">
        <v>30.4</v>
      </c>
      <c r="D1302" s="1">
        <v>0</v>
      </c>
      <c r="E1302" t="s">
        <v>9</v>
      </c>
      <c r="F1302" t="s">
        <v>12</v>
      </c>
      <c r="G1302" s="3">
        <v>62592.87</v>
      </c>
      <c r="H1302" t="str" cm="1">
        <f t="array" ref="H1302">_xlfn.IFS(A1302&lt;13, "Child", A1302&lt;20, "Teenager", A1302&lt;40, "Young Adult", A1302&lt;60, "Senior Adult", A1302&gt;=60, "Elderly")</f>
        <v>Senior Adult</v>
      </c>
    </row>
    <row r="1303" spans="1:8" x14ac:dyDescent="0.25">
      <c r="A1303" s="1">
        <v>62</v>
      </c>
      <c r="B1303" t="s">
        <v>8</v>
      </c>
      <c r="C1303" s="2">
        <v>30.9</v>
      </c>
      <c r="D1303" s="1">
        <v>3</v>
      </c>
      <c r="E1303" t="s">
        <v>9</v>
      </c>
      <c r="F1303" t="s">
        <v>13</v>
      </c>
      <c r="G1303" s="3">
        <v>46718.16</v>
      </c>
      <c r="H1303" t="str" cm="1">
        <f t="array" ref="H1303">_xlfn.IFS(A1303&lt;13, "Child", A1303&lt;20, "Teenager", A1303&lt;40, "Young Adult", A1303&lt;60, "Senior Adult", A1303&gt;=60, "Elderly")</f>
        <v>Elderly</v>
      </c>
    </row>
    <row r="1304" spans="1:8" x14ac:dyDescent="0.25">
      <c r="A1304" s="1">
        <v>25</v>
      </c>
      <c r="B1304" t="s">
        <v>7</v>
      </c>
      <c r="C1304" s="2">
        <v>20.8</v>
      </c>
      <c r="D1304" s="1">
        <v>1</v>
      </c>
      <c r="E1304" t="s">
        <v>10</v>
      </c>
      <c r="F1304" t="s">
        <v>11</v>
      </c>
      <c r="G1304" s="3">
        <v>3208.79</v>
      </c>
      <c r="H1304" t="str" cm="1">
        <f t="array" ref="H1304">_xlfn.IFS(A1304&lt;13, "Child", A1304&lt;20, "Teenager", A1304&lt;40, "Young Adult", A1304&lt;60, "Senior Adult", A1304&gt;=60, "Elderly")</f>
        <v>Young Adult</v>
      </c>
    </row>
    <row r="1305" spans="1:8" x14ac:dyDescent="0.25">
      <c r="A1305" s="1">
        <v>43</v>
      </c>
      <c r="B1305" t="s">
        <v>8</v>
      </c>
      <c r="C1305" s="2">
        <v>27.8</v>
      </c>
      <c r="D1305" s="1">
        <v>0</v>
      </c>
      <c r="E1305" t="s">
        <v>9</v>
      </c>
      <c r="F1305" t="s">
        <v>11</v>
      </c>
      <c r="G1305" s="3">
        <v>37829.72</v>
      </c>
      <c r="H1305" t="str" cm="1">
        <f t="array" ref="H1305">_xlfn.IFS(A1305&lt;13, "Child", A1305&lt;20, "Teenager", A1305&lt;40, "Young Adult", A1305&lt;60, "Senior Adult", A1305&gt;=60, "Elderly")</f>
        <v>Senior Adult</v>
      </c>
    </row>
    <row r="1306" spans="1:8" x14ac:dyDescent="0.25">
      <c r="A1306" s="1">
        <v>42</v>
      </c>
      <c r="B1306" t="s">
        <v>8</v>
      </c>
      <c r="C1306" s="2">
        <v>24.6</v>
      </c>
      <c r="D1306" s="1">
        <v>2</v>
      </c>
      <c r="E1306" t="s">
        <v>9</v>
      </c>
      <c r="F1306" t="s">
        <v>14</v>
      </c>
      <c r="G1306" s="3">
        <v>21259.38</v>
      </c>
      <c r="H1306" t="str" cm="1">
        <f t="array" ref="H1306">_xlfn.IFS(A1306&lt;13, "Child", A1306&lt;20, "Teenager", A1306&lt;40, "Young Adult", A1306&lt;60, "Senior Adult", A1306&gt;=60, "Elderly")</f>
        <v>Senior Adult</v>
      </c>
    </row>
    <row r="1307" spans="1:8" x14ac:dyDescent="0.25">
      <c r="A1307" s="1">
        <v>24</v>
      </c>
      <c r="B1307" t="s">
        <v>7</v>
      </c>
      <c r="C1307" s="2">
        <v>27.7</v>
      </c>
      <c r="D1307" s="1">
        <v>0</v>
      </c>
      <c r="E1307" t="s">
        <v>10</v>
      </c>
      <c r="F1307" t="s">
        <v>12</v>
      </c>
      <c r="G1307" s="3">
        <v>2464.62</v>
      </c>
      <c r="H1307" t="str" cm="1">
        <f t="array" ref="H1307">_xlfn.IFS(A1307&lt;13, "Child", A1307&lt;20, "Teenager", A1307&lt;40, "Young Adult", A1307&lt;60, "Senior Adult", A1307&gt;=60, "Elderly")</f>
        <v>Young Adult</v>
      </c>
    </row>
    <row r="1308" spans="1:8" x14ac:dyDescent="0.25">
      <c r="A1308" s="1">
        <v>29</v>
      </c>
      <c r="B1308" t="s">
        <v>7</v>
      </c>
      <c r="C1308" s="2">
        <v>21.9</v>
      </c>
      <c r="D1308" s="1">
        <v>0</v>
      </c>
      <c r="E1308" t="s">
        <v>9</v>
      </c>
      <c r="F1308" t="s">
        <v>14</v>
      </c>
      <c r="G1308" s="3">
        <v>16115.3</v>
      </c>
      <c r="H1308" t="str" cm="1">
        <f t="array" ref="H1308">_xlfn.IFS(A1308&lt;13, "Child", A1308&lt;20, "Teenager", A1308&lt;40, "Young Adult", A1308&lt;60, "Senior Adult", A1308&gt;=60, "Elderly")</f>
        <v>Young Adult</v>
      </c>
    </row>
    <row r="1309" spans="1:8" x14ac:dyDescent="0.25">
      <c r="A1309" s="1">
        <v>32</v>
      </c>
      <c r="B1309" t="s">
        <v>8</v>
      </c>
      <c r="C1309" s="2">
        <v>28.1</v>
      </c>
      <c r="D1309" s="1">
        <v>4</v>
      </c>
      <c r="E1309" t="s">
        <v>9</v>
      </c>
      <c r="F1309" t="s">
        <v>13</v>
      </c>
      <c r="G1309" s="3">
        <v>21472.48</v>
      </c>
      <c r="H1309" t="str" cm="1">
        <f t="array" ref="H1309">_xlfn.IFS(A1309&lt;13, "Child", A1309&lt;20, "Teenager", A1309&lt;40, "Young Adult", A1309&lt;60, "Senior Adult", A1309&gt;=60, "Elderly")</f>
        <v>Young Adult</v>
      </c>
    </row>
    <row r="1310" spans="1:8" x14ac:dyDescent="0.25">
      <c r="A1310" s="1">
        <v>25</v>
      </c>
      <c r="B1310" t="s">
        <v>7</v>
      </c>
      <c r="C1310" s="2">
        <v>30.2</v>
      </c>
      <c r="D1310" s="1">
        <v>0</v>
      </c>
      <c r="E1310" t="s">
        <v>9</v>
      </c>
      <c r="F1310" t="s">
        <v>11</v>
      </c>
      <c r="G1310" s="3">
        <v>33900.65</v>
      </c>
      <c r="H1310" t="str" cm="1">
        <f t="array" ref="H1310">_xlfn.IFS(A1310&lt;13, "Child", A1310&lt;20, "Teenager", A1310&lt;40, "Young Adult", A1310&lt;60, "Senior Adult", A1310&gt;=60, "Elderly")</f>
        <v>Young Adult</v>
      </c>
    </row>
    <row r="1311" spans="1:8" x14ac:dyDescent="0.25">
      <c r="A1311" s="1">
        <v>41</v>
      </c>
      <c r="B1311" t="s">
        <v>8</v>
      </c>
      <c r="C1311" s="2">
        <v>32.200000000000003</v>
      </c>
      <c r="D1311" s="1">
        <v>2</v>
      </c>
      <c r="E1311" t="s">
        <v>10</v>
      </c>
      <c r="F1311" t="s">
        <v>11</v>
      </c>
      <c r="G1311" s="3">
        <v>6875.96</v>
      </c>
      <c r="H1311" t="str" cm="1">
        <f t="array" ref="H1311">_xlfn.IFS(A1311&lt;13, "Child", A1311&lt;20, "Teenager", A1311&lt;40, "Young Adult", A1311&lt;60, "Senior Adult", A1311&gt;=60, "Elderly")</f>
        <v>Senior Adult</v>
      </c>
    </row>
    <row r="1312" spans="1:8" x14ac:dyDescent="0.25">
      <c r="A1312" s="1">
        <v>42</v>
      </c>
      <c r="B1312" t="s">
        <v>8</v>
      </c>
      <c r="C1312" s="2">
        <v>26.3</v>
      </c>
      <c r="D1312" s="1">
        <v>1</v>
      </c>
      <c r="E1312" t="s">
        <v>10</v>
      </c>
      <c r="F1312" t="s">
        <v>13</v>
      </c>
      <c r="G1312" s="3">
        <v>6940.91</v>
      </c>
      <c r="H1312" t="str" cm="1">
        <f t="array" ref="H1312">_xlfn.IFS(A1312&lt;13, "Child", A1312&lt;20, "Teenager", A1312&lt;40, "Young Adult", A1312&lt;60, "Senior Adult", A1312&gt;=60, "Elderly")</f>
        <v>Senior Adult</v>
      </c>
    </row>
    <row r="1313" spans="1:8" x14ac:dyDescent="0.25">
      <c r="A1313" s="1">
        <v>33</v>
      </c>
      <c r="B1313" t="s">
        <v>7</v>
      </c>
      <c r="C1313" s="2">
        <v>26.7</v>
      </c>
      <c r="D1313" s="1">
        <v>0</v>
      </c>
      <c r="E1313" t="s">
        <v>10</v>
      </c>
      <c r="F1313" t="s">
        <v>13</v>
      </c>
      <c r="G1313" s="3">
        <v>4571.41</v>
      </c>
      <c r="H1313" t="str" cm="1">
        <f t="array" ref="H1313">_xlfn.IFS(A1313&lt;13, "Child", A1313&lt;20, "Teenager", A1313&lt;40, "Young Adult", A1313&lt;60, "Senior Adult", A1313&gt;=60, "Elderly")</f>
        <v>Young Adult</v>
      </c>
    </row>
    <row r="1314" spans="1:8" x14ac:dyDescent="0.25">
      <c r="A1314" s="1">
        <v>34</v>
      </c>
      <c r="B1314" t="s">
        <v>8</v>
      </c>
      <c r="C1314" s="2">
        <v>42.9</v>
      </c>
      <c r="D1314" s="1">
        <v>1</v>
      </c>
      <c r="E1314" t="s">
        <v>10</v>
      </c>
      <c r="F1314" t="s">
        <v>11</v>
      </c>
      <c r="G1314" s="3">
        <v>4536.26</v>
      </c>
      <c r="H1314" t="str" cm="1">
        <f t="array" ref="H1314">_xlfn.IFS(A1314&lt;13, "Child", A1314&lt;20, "Teenager", A1314&lt;40, "Young Adult", A1314&lt;60, "Senior Adult", A1314&gt;=60, "Elderly")</f>
        <v>Young Adult</v>
      </c>
    </row>
    <row r="1315" spans="1:8" x14ac:dyDescent="0.25">
      <c r="A1315" s="1">
        <v>19</v>
      </c>
      <c r="B1315" t="s">
        <v>7</v>
      </c>
      <c r="C1315" s="2">
        <v>34.700000000000003</v>
      </c>
      <c r="D1315" s="1">
        <v>2</v>
      </c>
      <c r="E1315" t="s">
        <v>9</v>
      </c>
      <c r="F1315" t="s">
        <v>11</v>
      </c>
      <c r="G1315" s="3">
        <v>36397.58</v>
      </c>
      <c r="H1315" t="str" cm="1">
        <f t="array" ref="H1315">_xlfn.IFS(A1315&lt;13, "Child", A1315&lt;20, "Teenager", A1315&lt;40, "Young Adult", A1315&lt;60, "Senior Adult", A1315&gt;=60, "Elderly")</f>
        <v>Teenager</v>
      </c>
    </row>
    <row r="1316" spans="1:8" x14ac:dyDescent="0.25">
      <c r="A1316" s="1">
        <v>30</v>
      </c>
      <c r="B1316" t="s">
        <v>7</v>
      </c>
      <c r="C1316" s="2">
        <v>23.7</v>
      </c>
      <c r="D1316" s="1">
        <v>3</v>
      </c>
      <c r="E1316" t="s">
        <v>9</v>
      </c>
      <c r="F1316" t="s">
        <v>13</v>
      </c>
      <c r="G1316" s="3">
        <v>18765.88</v>
      </c>
      <c r="H1316" t="str" cm="1">
        <f t="array" ref="H1316">_xlfn.IFS(A1316&lt;13, "Child", A1316&lt;20, "Teenager", A1316&lt;40, "Young Adult", A1316&lt;60, "Senior Adult", A1316&gt;=60, "Elderly")</f>
        <v>Young Adult</v>
      </c>
    </row>
    <row r="1317" spans="1:8" x14ac:dyDescent="0.25">
      <c r="A1317" s="1">
        <v>18</v>
      </c>
      <c r="B1317" t="s">
        <v>8</v>
      </c>
      <c r="C1317" s="2">
        <v>28.3</v>
      </c>
      <c r="D1317" s="1">
        <v>1</v>
      </c>
      <c r="E1317" t="s">
        <v>10</v>
      </c>
      <c r="F1317" t="s">
        <v>14</v>
      </c>
      <c r="G1317" s="3">
        <v>11272.33</v>
      </c>
      <c r="H1317" t="str" cm="1">
        <f t="array" ref="H1317">_xlfn.IFS(A1317&lt;13, "Child", A1317&lt;20, "Teenager", A1317&lt;40, "Young Adult", A1317&lt;60, "Senior Adult", A1317&gt;=60, "Elderly")</f>
        <v>Teenager</v>
      </c>
    </row>
    <row r="1318" spans="1:8" x14ac:dyDescent="0.25">
      <c r="A1318" s="1">
        <v>19</v>
      </c>
      <c r="B1318" t="s">
        <v>7</v>
      </c>
      <c r="C1318" s="2">
        <v>20.6</v>
      </c>
      <c r="D1318" s="1">
        <v>0</v>
      </c>
      <c r="E1318" t="s">
        <v>10</v>
      </c>
      <c r="F1318" t="s">
        <v>11</v>
      </c>
      <c r="G1318" s="3">
        <v>1731.68</v>
      </c>
      <c r="H1318" t="str" cm="1">
        <f t="array" ref="H1318">_xlfn.IFS(A1318&lt;13, "Child", A1318&lt;20, "Teenager", A1318&lt;40, "Young Adult", A1318&lt;60, "Senior Adult", A1318&gt;=60, "Elderly")</f>
        <v>Teenager</v>
      </c>
    </row>
    <row r="1319" spans="1:8" x14ac:dyDescent="0.25">
      <c r="A1319" s="1">
        <v>18</v>
      </c>
      <c r="B1319" t="s">
        <v>8</v>
      </c>
      <c r="C1319" s="2">
        <v>53.1</v>
      </c>
      <c r="D1319" s="1">
        <v>0</v>
      </c>
      <c r="E1319" t="s">
        <v>10</v>
      </c>
      <c r="F1319" t="s">
        <v>12</v>
      </c>
      <c r="G1319" s="3">
        <v>1163.46</v>
      </c>
      <c r="H1319" t="str" cm="1">
        <f t="array" ref="H1319">_xlfn.IFS(A1319&lt;13, "Child", A1319&lt;20, "Teenager", A1319&lt;40, "Young Adult", A1319&lt;60, "Senior Adult", A1319&gt;=60, "Elderly")</f>
        <v>Teenager</v>
      </c>
    </row>
    <row r="1320" spans="1:8" x14ac:dyDescent="0.25">
      <c r="A1320" s="1">
        <v>35</v>
      </c>
      <c r="B1320" t="s">
        <v>8</v>
      </c>
      <c r="C1320" s="2">
        <v>39.700000000000003</v>
      </c>
      <c r="D1320" s="1">
        <v>4</v>
      </c>
      <c r="E1320" t="s">
        <v>10</v>
      </c>
      <c r="F1320" t="s">
        <v>14</v>
      </c>
      <c r="G1320" s="3">
        <v>19496.72</v>
      </c>
      <c r="H1320" t="str" cm="1">
        <f t="array" ref="H1320">_xlfn.IFS(A1320&lt;13, "Child", A1320&lt;20, "Teenager", A1320&lt;40, "Young Adult", A1320&lt;60, "Senior Adult", A1320&gt;=60, "Elderly")</f>
        <v>Young Adult</v>
      </c>
    </row>
    <row r="1321" spans="1:8" x14ac:dyDescent="0.25">
      <c r="A1321" s="1">
        <v>39</v>
      </c>
      <c r="B1321" t="s">
        <v>7</v>
      </c>
      <c r="C1321" s="2">
        <v>26.3</v>
      </c>
      <c r="D1321" s="1">
        <v>2</v>
      </c>
      <c r="E1321" t="s">
        <v>10</v>
      </c>
      <c r="F1321" t="s">
        <v>13</v>
      </c>
      <c r="G1321" s="3">
        <v>7201.7</v>
      </c>
      <c r="H1321" t="str" cm="1">
        <f t="array" ref="H1321">_xlfn.IFS(A1321&lt;13, "Child", A1321&lt;20, "Teenager", A1321&lt;40, "Young Adult", A1321&lt;60, "Senior Adult", A1321&gt;=60, "Elderly")</f>
        <v>Young Adult</v>
      </c>
    </row>
    <row r="1322" spans="1:8" x14ac:dyDescent="0.25">
      <c r="A1322" s="1">
        <v>31</v>
      </c>
      <c r="B1322" t="s">
        <v>8</v>
      </c>
      <c r="C1322" s="2">
        <v>31.1</v>
      </c>
      <c r="D1322" s="1">
        <v>3</v>
      </c>
      <c r="E1322" t="s">
        <v>10</v>
      </c>
      <c r="F1322" t="s">
        <v>13</v>
      </c>
      <c r="G1322" s="3">
        <v>5425.02</v>
      </c>
      <c r="H1322" t="str" cm="1">
        <f t="array" ref="H1322">_xlfn.IFS(A1322&lt;13, "Child", A1322&lt;20, "Teenager", A1322&lt;40, "Young Adult", A1322&lt;60, "Senior Adult", A1322&gt;=60, "Elderly")</f>
        <v>Young Adult</v>
      </c>
    </row>
    <row r="1323" spans="1:8" x14ac:dyDescent="0.25">
      <c r="A1323" s="1">
        <v>62</v>
      </c>
      <c r="B1323" t="s">
        <v>8</v>
      </c>
      <c r="C1323" s="2">
        <v>26.7</v>
      </c>
      <c r="D1323" s="1">
        <v>0</v>
      </c>
      <c r="E1323" t="s">
        <v>9</v>
      </c>
      <c r="F1323" t="s">
        <v>14</v>
      </c>
      <c r="G1323" s="3">
        <v>28101.33</v>
      </c>
      <c r="H1323" t="str" cm="1">
        <f t="array" ref="H1323">_xlfn.IFS(A1323&lt;13, "Child", A1323&lt;20, "Teenager", A1323&lt;40, "Young Adult", A1323&lt;60, "Senior Adult", A1323&gt;=60, "Elderly")</f>
        <v>Elderly</v>
      </c>
    </row>
    <row r="1324" spans="1:8" x14ac:dyDescent="0.25">
      <c r="A1324" s="1">
        <v>62</v>
      </c>
      <c r="B1324" t="s">
        <v>8</v>
      </c>
      <c r="C1324" s="2">
        <v>38.799999999999997</v>
      </c>
      <c r="D1324" s="1">
        <v>0</v>
      </c>
      <c r="E1324" t="s">
        <v>10</v>
      </c>
      <c r="F1324" t="s">
        <v>12</v>
      </c>
      <c r="G1324" s="3">
        <v>12981.35</v>
      </c>
      <c r="H1324" t="str" cm="1">
        <f t="array" ref="H1324">_xlfn.IFS(A1324&lt;13, "Child", A1324&lt;20, "Teenager", A1324&lt;40, "Young Adult", A1324&lt;60, "Senior Adult", A1324&gt;=60, "Elderly")</f>
        <v>Elderly</v>
      </c>
    </row>
    <row r="1325" spans="1:8" x14ac:dyDescent="0.25">
      <c r="A1325" s="1">
        <v>42</v>
      </c>
      <c r="B1325" t="s">
        <v>7</v>
      </c>
      <c r="C1325" s="2">
        <v>40.4</v>
      </c>
      <c r="D1325" s="1">
        <v>2</v>
      </c>
      <c r="E1325" t="s">
        <v>9</v>
      </c>
      <c r="F1325" t="s">
        <v>12</v>
      </c>
      <c r="G1325" s="3">
        <v>43896.38</v>
      </c>
      <c r="H1325" t="str" cm="1">
        <f t="array" ref="H1325">_xlfn.IFS(A1325&lt;13, "Child", A1325&lt;20, "Teenager", A1325&lt;40, "Young Adult", A1325&lt;60, "Senior Adult", A1325&gt;=60, "Elderly")</f>
        <v>Senior Adult</v>
      </c>
    </row>
    <row r="1326" spans="1:8" x14ac:dyDescent="0.25">
      <c r="A1326" s="1">
        <v>31</v>
      </c>
      <c r="B1326" t="s">
        <v>8</v>
      </c>
      <c r="C1326" s="2">
        <v>25.9</v>
      </c>
      <c r="D1326" s="1">
        <v>1</v>
      </c>
      <c r="E1326" t="s">
        <v>10</v>
      </c>
      <c r="F1326" t="s">
        <v>13</v>
      </c>
      <c r="G1326" s="3">
        <v>4239.8900000000003</v>
      </c>
      <c r="H1326" t="str" cm="1">
        <f t="array" ref="H1326">_xlfn.IFS(A1326&lt;13, "Child", A1326&lt;20, "Teenager", A1326&lt;40, "Young Adult", A1326&lt;60, "Senior Adult", A1326&gt;=60, "Elderly")</f>
        <v>Young Adult</v>
      </c>
    </row>
    <row r="1327" spans="1:8" x14ac:dyDescent="0.25">
      <c r="A1327" s="1">
        <v>61</v>
      </c>
      <c r="B1327" t="s">
        <v>8</v>
      </c>
      <c r="C1327" s="2">
        <v>33.5</v>
      </c>
      <c r="D1327" s="1">
        <v>0</v>
      </c>
      <c r="E1327" t="s">
        <v>10</v>
      </c>
      <c r="F1327" t="s">
        <v>14</v>
      </c>
      <c r="G1327" s="3">
        <v>13143.34</v>
      </c>
      <c r="H1327" t="str" cm="1">
        <f t="array" ref="H1327">_xlfn.IFS(A1327&lt;13, "Child", A1327&lt;20, "Teenager", A1327&lt;40, "Young Adult", A1327&lt;60, "Senior Adult", A1327&gt;=60, "Elderly")</f>
        <v>Elderly</v>
      </c>
    </row>
    <row r="1328" spans="1:8" x14ac:dyDescent="0.25">
      <c r="A1328" s="1">
        <v>42</v>
      </c>
      <c r="B1328" t="s">
        <v>7</v>
      </c>
      <c r="C1328" s="2">
        <v>32.9</v>
      </c>
      <c r="D1328" s="1">
        <v>0</v>
      </c>
      <c r="E1328" t="s">
        <v>10</v>
      </c>
      <c r="F1328" t="s">
        <v>14</v>
      </c>
      <c r="G1328" s="3">
        <v>7050.02</v>
      </c>
      <c r="H1328" t="str" cm="1">
        <f t="array" ref="H1328">_xlfn.IFS(A1328&lt;13, "Child", A1328&lt;20, "Teenager", A1328&lt;40, "Young Adult", A1328&lt;60, "Senior Adult", A1328&gt;=60, "Elderly")</f>
        <v>Senior Adult</v>
      </c>
    </row>
    <row r="1329" spans="1:8" x14ac:dyDescent="0.25">
      <c r="A1329" s="1">
        <v>51</v>
      </c>
      <c r="B1329" t="s">
        <v>8</v>
      </c>
      <c r="C1329" s="2">
        <v>30</v>
      </c>
      <c r="D1329" s="1">
        <v>1</v>
      </c>
      <c r="E1329" t="s">
        <v>10</v>
      </c>
      <c r="F1329" t="s">
        <v>12</v>
      </c>
      <c r="G1329" s="3">
        <v>9377.9</v>
      </c>
      <c r="H1329" t="str" cm="1">
        <f t="array" ref="H1329">_xlfn.IFS(A1329&lt;13, "Child", A1329&lt;20, "Teenager", A1329&lt;40, "Young Adult", A1329&lt;60, "Senior Adult", A1329&gt;=60, "Elderly")</f>
        <v>Senior Adult</v>
      </c>
    </row>
    <row r="1330" spans="1:8" x14ac:dyDescent="0.25">
      <c r="A1330" s="1">
        <v>23</v>
      </c>
      <c r="B1330" t="s">
        <v>7</v>
      </c>
      <c r="C1330" s="2">
        <v>24.2</v>
      </c>
      <c r="D1330" s="1">
        <v>2</v>
      </c>
      <c r="E1330" t="s">
        <v>10</v>
      </c>
      <c r="F1330" t="s">
        <v>14</v>
      </c>
      <c r="G1330" s="3">
        <v>22395.74</v>
      </c>
      <c r="H1330" t="str" cm="1">
        <f t="array" ref="H1330">_xlfn.IFS(A1330&lt;13, "Child", A1330&lt;20, "Teenager", A1330&lt;40, "Young Adult", A1330&lt;60, "Senior Adult", A1330&gt;=60, "Elderly")</f>
        <v>Young Adult</v>
      </c>
    </row>
    <row r="1331" spans="1:8" x14ac:dyDescent="0.25">
      <c r="A1331" s="1">
        <v>52</v>
      </c>
      <c r="B1331" t="s">
        <v>8</v>
      </c>
      <c r="C1331" s="2">
        <v>38.6</v>
      </c>
      <c r="D1331" s="1">
        <v>2</v>
      </c>
      <c r="E1331" t="s">
        <v>10</v>
      </c>
      <c r="F1331" t="s">
        <v>11</v>
      </c>
      <c r="G1331" s="3">
        <v>10325.209999999999</v>
      </c>
      <c r="H1331" t="str" cm="1">
        <f t="array" ref="H1331">_xlfn.IFS(A1331&lt;13, "Child", A1331&lt;20, "Teenager", A1331&lt;40, "Young Adult", A1331&lt;60, "Senior Adult", A1331&gt;=60, "Elderly")</f>
        <v>Senior Adult</v>
      </c>
    </row>
    <row r="1332" spans="1:8" x14ac:dyDescent="0.25">
      <c r="A1332" s="1">
        <v>57</v>
      </c>
      <c r="B1332" t="s">
        <v>7</v>
      </c>
      <c r="C1332" s="2">
        <v>25.7</v>
      </c>
      <c r="D1332" s="1">
        <v>2</v>
      </c>
      <c r="E1332" t="s">
        <v>10</v>
      </c>
      <c r="F1332" t="s">
        <v>12</v>
      </c>
      <c r="G1332" s="3">
        <v>12629.17</v>
      </c>
      <c r="H1332" t="str" cm="1">
        <f t="array" ref="H1332">_xlfn.IFS(A1332&lt;13, "Child", A1332&lt;20, "Teenager", A1332&lt;40, "Young Adult", A1332&lt;60, "Senior Adult", A1332&gt;=60, "Elderly")</f>
        <v>Senior Adult</v>
      </c>
    </row>
    <row r="1333" spans="1:8" x14ac:dyDescent="0.25">
      <c r="A1333" s="1">
        <v>23</v>
      </c>
      <c r="B1333" t="s">
        <v>7</v>
      </c>
      <c r="C1333" s="2">
        <v>33.4</v>
      </c>
      <c r="D1333" s="1">
        <v>0</v>
      </c>
      <c r="E1333" t="s">
        <v>10</v>
      </c>
      <c r="F1333" t="s">
        <v>11</v>
      </c>
      <c r="G1333" s="3">
        <v>10795.94</v>
      </c>
      <c r="H1333" t="str" cm="1">
        <f t="array" ref="H1333">_xlfn.IFS(A1333&lt;13, "Child", A1333&lt;20, "Teenager", A1333&lt;40, "Young Adult", A1333&lt;60, "Senior Adult", A1333&gt;=60, "Elderly")</f>
        <v>Young Adult</v>
      </c>
    </row>
    <row r="1334" spans="1:8" x14ac:dyDescent="0.25">
      <c r="A1334" s="1">
        <v>52</v>
      </c>
      <c r="B1334" t="s">
        <v>7</v>
      </c>
      <c r="C1334" s="2">
        <v>44.7</v>
      </c>
      <c r="D1334" s="1">
        <v>3</v>
      </c>
      <c r="E1334" t="s">
        <v>10</v>
      </c>
      <c r="F1334" t="s">
        <v>11</v>
      </c>
      <c r="G1334" s="3">
        <v>11411.69</v>
      </c>
      <c r="H1334" t="str" cm="1">
        <f t="array" ref="H1334">_xlfn.IFS(A1334&lt;13, "Child", A1334&lt;20, "Teenager", A1334&lt;40, "Young Adult", A1334&lt;60, "Senior Adult", A1334&gt;=60, "Elderly")</f>
        <v>Senior Adult</v>
      </c>
    </row>
    <row r="1335" spans="1:8" x14ac:dyDescent="0.25">
      <c r="A1335" s="1">
        <v>50</v>
      </c>
      <c r="B1335" t="s">
        <v>8</v>
      </c>
      <c r="C1335" s="2">
        <v>31</v>
      </c>
      <c r="D1335" s="1">
        <v>3</v>
      </c>
      <c r="E1335" t="s">
        <v>10</v>
      </c>
      <c r="F1335" t="s">
        <v>13</v>
      </c>
      <c r="G1335" s="3">
        <v>10600.55</v>
      </c>
      <c r="H1335" t="str" cm="1">
        <f t="array" ref="H1335">_xlfn.IFS(A1335&lt;13, "Child", A1335&lt;20, "Teenager", A1335&lt;40, "Young Adult", A1335&lt;60, "Senior Adult", A1335&gt;=60, "Elderly")</f>
        <v>Senior Adult</v>
      </c>
    </row>
    <row r="1336" spans="1:8" x14ac:dyDescent="0.25">
      <c r="A1336" s="1">
        <v>18</v>
      </c>
      <c r="B1336" t="s">
        <v>7</v>
      </c>
      <c r="C1336" s="2">
        <v>31.9</v>
      </c>
      <c r="D1336" s="1">
        <v>0</v>
      </c>
      <c r="E1336" t="s">
        <v>10</v>
      </c>
      <c r="F1336" t="s">
        <v>14</v>
      </c>
      <c r="G1336" s="3">
        <v>2205.98</v>
      </c>
      <c r="H1336" t="str" cm="1">
        <f t="array" ref="H1336">_xlfn.IFS(A1336&lt;13, "Child", A1336&lt;20, "Teenager", A1336&lt;40, "Young Adult", A1336&lt;60, "Senior Adult", A1336&gt;=60, "Elderly")</f>
        <v>Teenager</v>
      </c>
    </row>
    <row r="1337" spans="1:8" x14ac:dyDescent="0.25">
      <c r="A1337" s="1">
        <v>18</v>
      </c>
      <c r="B1337" t="s">
        <v>7</v>
      </c>
      <c r="C1337" s="2">
        <v>36.9</v>
      </c>
      <c r="D1337" s="1">
        <v>0</v>
      </c>
      <c r="E1337" t="s">
        <v>10</v>
      </c>
      <c r="F1337" t="s">
        <v>12</v>
      </c>
      <c r="G1337" s="3">
        <v>1629.83</v>
      </c>
      <c r="H1337" t="str" cm="1">
        <f t="array" ref="H1337">_xlfn.IFS(A1337&lt;13, "Child", A1337&lt;20, "Teenager", A1337&lt;40, "Young Adult", A1337&lt;60, "Senior Adult", A1337&gt;=60, "Elderly")</f>
        <v>Teenager</v>
      </c>
    </row>
    <row r="1338" spans="1:8" x14ac:dyDescent="0.25">
      <c r="A1338" s="1">
        <v>21</v>
      </c>
      <c r="B1338" t="s">
        <v>7</v>
      </c>
      <c r="C1338" s="2">
        <v>25.8</v>
      </c>
      <c r="D1338" s="1">
        <v>0</v>
      </c>
      <c r="E1338" t="s">
        <v>10</v>
      </c>
      <c r="F1338" t="s">
        <v>11</v>
      </c>
      <c r="G1338" s="3">
        <v>2007.95</v>
      </c>
      <c r="H1338" t="str" cm="1">
        <f t="array" ref="H1338">_xlfn.IFS(A1338&lt;13, "Child", A1338&lt;20, "Teenager", A1338&lt;40, "Young Adult", A1338&lt;60, "Senior Adult", A1338&gt;=60, "Elderly")</f>
        <v>Young Adult</v>
      </c>
    </row>
    <row r="1339" spans="1:8" x14ac:dyDescent="0.25">
      <c r="A1339" s="1">
        <v>61</v>
      </c>
      <c r="B1339" t="s">
        <v>7</v>
      </c>
      <c r="C1339" s="2">
        <v>29.1</v>
      </c>
      <c r="D1339" s="1">
        <v>0</v>
      </c>
      <c r="E1339" t="s">
        <v>9</v>
      </c>
      <c r="F1339" t="s">
        <v>13</v>
      </c>
      <c r="G1339" s="3">
        <v>29141.360000000001</v>
      </c>
      <c r="H1339" t="str" cm="1">
        <f t="array" ref="H1339">_xlfn.IFS(A1339&lt;13, "Child", A1339&lt;20, "Teenager", A1339&lt;40, "Young Adult", A1339&lt;60, "Senior Adult", A1339&gt;=60, "Elderly")</f>
        <v>Elderly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7B74E-5BE8-47D3-842C-BCC1D33FAD2F}">
  <dimension ref="A2:B5"/>
  <sheetViews>
    <sheetView workbookViewId="0">
      <selection activeCell="B3" sqref="B3"/>
    </sheetView>
  </sheetViews>
  <sheetFormatPr defaultRowHeight="15" x14ac:dyDescent="0.25"/>
  <cols>
    <col min="1" max="1" width="19.140625" bestFit="1" customWidth="1"/>
    <col min="2" max="2" width="15.28515625" bestFit="1" customWidth="1"/>
  </cols>
  <sheetData>
    <row r="2" spans="1:2" x14ac:dyDescent="0.25">
      <c r="A2" s="7" t="s">
        <v>23</v>
      </c>
      <c r="B2" s="9">
        <f>SUM(insurance_dataset!G:G)</f>
        <v>17755825.189999975</v>
      </c>
    </row>
    <row r="3" spans="1:2" x14ac:dyDescent="0.25">
      <c r="A3" s="7" t="s">
        <v>24</v>
      </c>
      <c r="B3" s="10">
        <f>AVERAGE(insurance_dataset!G:G)</f>
        <v>13270.422414050803</v>
      </c>
    </row>
    <row r="4" spans="1:2" x14ac:dyDescent="0.25">
      <c r="A4" s="7" t="s">
        <v>25</v>
      </c>
      <c r="B4" s="8">
        <f>COUNTA(insurance_dataset!A:A)</f>
        <v>1339</v>
      </c>
    </row>
    <row r="5" spans="1:2" x14ac:dyDescent="0.25">
      <c r="A5" s="7" t="s">
        <v>26</v>
      </c>
      <c r="B5" s="8">
        <f>COUNTIF(insurance_dataset!E:E, "yes")</f>
        <v>274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3AD3E-DD0D-40FD-92A8-BC668788E231}">
  <dimension ref="A3:B11"/>
  <sheetViews>
    <sheetView workbookViewId="0">
      <selection activeCell="D11" sqref="D11"/>
    </sheetView>
  </sheetViews>
  <sheetFormatPr defaultRowHeight="15" x14ac:dyDescent="0.25"/>
  <cols>
    <col min="1" max="1" width="13.140625" bestFit="1" customWidth="1"/>
    <col min="2" max="2" width="16" bestFit="1" customWidth="1"/>
  </cols>
  <sheetData>
    <row r="3" spans="1:2" x14ac:dyDescent="0.25">
      <c r="A3" s="5" t="s">
        <v>16</v>
      </c>
      <c r="B3" t="s">
        <v>18</v>
      </c>
    </row>
    <row r="4" spans="1:2" x14ac:dyDescent="0.25">
      <c r="A4" s="6" t="s">
        <v>7</v>
      </c>
      <c r="B4" s="3">
        <v>8321061.2299999995</v>
      </c>
    </row>
    <row r="5" spans="1:2" x14ac:dyDescent="0.25">
      <c r="A5" s="6" t="s">
        <v>8</v>
      </c>
      <c r="B5" s="3">
        <v>9434763.9600000065</v>
      </c>
    </row>
    <row r="6" spans="1:2" x14ac:dyDescent="0.25">
      <c r="A6" s="6" t="s">
        <v>17</v>
      </c>
      <c r="B6" s="3">
        <v>17755825.190000005</v>
      </c>
    </row>
    <row r="11" spans="1:2" x14ac:dyDescent="0.25">
      <c r="B11"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13E4B-BCED-4C5C-B525-F728DD227C3E}">
  <dimension ref="A3:B6"/>
  <sheetViews>
    <sheetView workbookViewId="0">
      <selection activeCell="A3" sqref="A3"/>
    </sheetView>
  </sheetViews>
  <sheetFormatPr defaultRowHeight="15" x14ac:dyDescent="0.25"/>
  <cols>
    <col min="1" max="1" width="13.140625" bestFit="1" customWidth="1"/>
    <col min="2" max="2" width="16" bestFit="1" customWidth="1"/>
  </cols>
  <sheetData>
    <row r="3" spans="1:2" x14ac:dyDescent="0.25">
      <c r="A3" s="5" t="s">
        <v>16</v>
      </c>
      <c r="B3" t="s">
        <v>18</v>
      </c>
    </row>
    <row r="4" spans="1:2" x14ac:dyDescent="0.25">
      <c r="A4" s="6" t="s">
        <v>10</v>
      </c>
      <c r="B4" s="3">
        <v>8974061.6300000027</v>
      </c>
    </row>
    <row r="5" spans="1:2" x14ac:dyDescent="0.25">
      <c r="A5" s="6" t="s">
        <v>9</v>
      </c>
      <c r="B5" s="3">
        <v>8781763.5600000042</v>
      </c>
    </row>
    <row r="6" spans="1:2" x14ac:dyDescent="0.25">
      <c r="A6" s="6" t="s">
        <v>17</v>
      </c>
      <c r="B6" s="3">
        <v>17755825.190000005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2890B-C6A8-4CBA-9225-38B2BF68D62A}">
  <dimension ref="A3:B8"/>
  <sheetViews>
    <sheetView workbookViewId="0">
      <selection activeCell="B5" sqref="B5"/>
    </sheetView>
  </sheetViews>
  <sheetFormatPr defaultRowHeight="15" x14ac:dyDescent="0.25"/>
  <cols>
    <col min="1" max="1" width="13.140625" bestFit="1" customWidth="1"/>
    <col min="2" max="2" width="16" bestFit="1" customWidth="1"/>
  </cols>
  <sheetData>
    <row r="3" spans="1:2" x14ac:dyDescent="0.25">
      <c r="A3" s="5" t="s">
        <v>16</v>
      </c>
      <c r="B3" t="s">
        <v>18</v>
      </c>
    </row>
    <row r="4" spans="1:2" x14ac:dyDescent="0.25">
      <c r="A4" s="6" t="s">
        <v>19</v>
      </c>
      <c r="B4" s="3">
        <v>2422274.5100000012</v>
      </c>
    </row>
    <row r="5" spans="1:2" x14ac:dyDescent="0.25">
      <c r="A5" s="6" t="s">
        <v>20</v>
      </c>
      <c r="B5" s="3">
        <v>8487585.9200000037</v>
      </c>
    </row>
    <row r="6" spans="1:2" x14ac:dyDescent="0.25">
      <c r="A6" s="6" t="s">
        <v>21</v>
      </c>
      <c r="B6" s="3">
        <v>1151806.8999999997</v>
      </c>
    </row>
    <row r="7" spans="1:2" x14ac:dyDescent="0.25">
      <c r="A7" s="6" t="s">
        <v>22</v>
      </c>
      <c r="B7" s="3">
        <v>5694157.8600000069</v>
      </c>
    </row>
    <row r="8" spans="1:2" x14ac:dyDescent="0.25">
      <c r="A8" s="6" t="s">
        <v>17</v>
      </c>
      <c r="B8" s="3">
        <v>17755825.190000013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113F-5BEB-4C39-B9E1-BED39BC0509D}">
  <dimension ref="A3:B8"/>
  <sheetViews>
    <sheetView workbookViewId="0">
      <selection activeCell="B8" sqref="B8"/>
    </sheetView>
  </sheetViews>
  <sheetFormatPr defaultRowHeight="15" x14ac:dyDescent="0.25"/>
  <cols>
    <col min="1" max="1" width="13.140625" bestFit="1" customWidth="1"/>
    <col min="2" max="2" width="16" bestFit="1" customWidth="1"/>
  </cols>
  <sheetData>
    <row r="3" spans="1:2" x14ac:dyDescent="0.25">
      <c r="A3" s="5" t="s">
        <v>16</v>
      </c>
      <c r="B3" t="s">
        <v>18</v>
      </c>
    </row>
    <row r="4" spans="1:2" x14ac:dyDescent="0.25">
      <c r="A4" s="6" t="s">
        <v>14</v>
      </c>
      <c r="B4" s="3">
        <v>4343668.6400000015</v>
      </c>
    </row>
    <row r="5" spans="1:2" x14ac:dyDescent="0.25">
      <c r="A5" s="6" t="s">
        <v>13</v>
      </c>
      <c r="B5" s="3">
        <v>4035711.93</v>
      </c>
    </row>
    <row r="6" spans="1:2" x14ac:dyDescent="0.25">
      <c r="A6" s="6" t="s">
        <v>12</v>
      </c>
      <c r="B6" s="3">
        <v>5363689.8000000054</v>
      </c>
    </row>
    <row r="7" spans="1:2" x14ac:dyDescent="0.25">
      <c r="A7" s="6" t="s">
        <v>11</v>
      </c>
      <c r="B7" s="3">
        <v>4012754.82</v>
      </c>
    </row>
    <row r="8" spans="1:2" x14ac:dyDescent="0.25">
      <c r="A8" s="6" t="s">
        <v>17</v>
      </c>
      <c r="B8" s="3">
        <v>17755825.190000009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CDAEB-0D7A-47BD-BE23-4157AA1B577F}">
  <dimension ref="B46"/>
  <sheetViews>
    <sheetView showGridLines="0" showRowColHeaders="0" tabSelected="1" workbookViewId="0">
      <selection activeCell="AC33" sqref="AC33"/>
    </sheetView>
  </sheetViews>
  <sheetFormatPr defaultRowHeight="15" x14ac:dyDescent="0.25"/>
  <cols>
    <col min="1" max="16384" width="9.140625" style="12"/>
  </cols>
  <sheetData>
    <row r="46" spans="2:2" x14ac:dyDescent="0.25">
      <c r="B46"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insurance_dataset</vt:lpstr>
      <vt:lpstr>KPI</vt:lpstr>
      <vt:lpstr>Expenditure by Gender</vt:lpstr>
      <vt:lpstr>Expenditure by Smoking Status</vt:lpstr>
      <vt:lpstr>Expenditure by Age Group</vt:lpstr>
      <vt:lpstr>Expeniture by Region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Konings</dc:creator>
  <cp:lastModifiedBy>Akoko Konings</cp:lastModifiedBy>
  <cp:lastPrinted>2026-07-16T23:17:22Z</cp:lastPrinted>
  <dcterms:created xsi:type="dcterms:W3CDTF">2026-07-16T16:09:26Z</dcterms:created>
  <dcterms:modified xsi:type="dcterms:W3CDTF">2026-07-20T08:51:14Z</dcterms:modified>
</cp:coreProperties>
</file>